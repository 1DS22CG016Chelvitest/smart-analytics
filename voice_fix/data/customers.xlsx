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0" yWindow="0" windowWidth="19200" windowHeight="78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B70" i="1" l="1"/>
  <c r="AA70" i="1"/>
  <c r="Z70" i="1"/>
  <c r="Y70" i="1"/>
  <c r="V70" i="1"/>
  <c r="U70" i="1"/>
  <c r="W70" i="1" s="1"/>
  <c r="T70" i="1"/>
  <c r="X70" i="1" s="1"/>
  <c r="S70" i="1"/>
  <c r="A70" i="1"/>
  <c r="AB69" i="1"/>
  <c r="AA69" i="1"/>
  <c r="Z69" i="1"/>
  <c r="Y69" i="1"/>
  <c r="X69" i="1"/>
  <c r="V69" i="1"/>
  <c r="U69" i="1"/>
  <c r="W69" i="1" s="1"/>
  <c r="T69" i="1"/>
  <c r="S69" i="1"/>
  <c r="A69" i="1"/>
  <c r="AB68" i="1"/>
  <c r="AA68" i="1"/>
  <c r="Z68" i="1"/>
  <c r="Y68" i="1"/>
  <c r="X68" i="1"/>
  <c r="V68" i="1"/>
  <c r="U68" i="1"/>
  <c r="W68" i="1" s="1"/>
  <c r="T68" i="1"/>
  <c r="S68" i="1"/>
  <c r="A68" i="1"/>
  <c r="AB67" i="1"/>
  <c r="AA67" i="1"/>
  <c r="Z67" i="1"/>
  <c r="Y67" i="1"/>
  <c r="X67" i="1"/>
  <c r="V67" i="1"/>
  <c r="U67" i="1"/>
  <c r="W67" i="1" s="1"/>
  <c r="T67" i="1"/>
  <c r="S67" i="1"/>
  <c r="A67" i="1"/>
  <c r="AB66" i="1"/>
  <c r="AA66" i="1"/>
  <c r="Z66" i="1"/>
  <c r="Y66" i="1"/>
  <c r="X66" i="1"/>
  <c r="V66" i="1"/>
  <c r="U66" i="1"/>
  <c r="W66" i="1" s="1"/>
  <c r="T66" i="1"/>
  <c r="S66" i="1"/>
  <c r="A66" i="1"/>
  <c r="AB65" i="1"/>
  <c r="AA65" i="1"/>
  <c r="Z65" i="1"/>
  <c r="Y65" i="1"/>
  <c r="V65" i="1"/>
  <c r="U65" i="1"/>
  <c r="W65" i="1" s="1"/>
  <c r="T65" i="1"/>
  <c r="X65" i="1" s="1"/>
  <c r="S65" i="1"/>
  <c r="A65" i="1"/>
  <c r="AB64" i="1"/>
  <c r="AA64" i="1"/>
  <c r="Z64" i="1"/>
  <c r="Y64" i="1"/>
  <c r="X64" i="1"/>
  <c r="V64" i="1"/>
  <c r="U64" i="1"/>
  <c r="W64" i="1" s="1"/>
  <c r="T64" i="1"/>
  <c r="S64" i="1"/>
  <c r="A64" i="1"/>
  <c r="AB63" i="1"/>
  <c r="AA63" i="1"/>
  <c r="Z63" i="1"/>
  <c r="Y63" i="1"/>
  <c r="X63" i="1"/>
  <c r="W63" i="1"/>
  <c r="V63" i="1"/>
  <c r="U63" i="1"/>
  <c r="T63" i="1"/>
  <c r="S63" i="1"/>
  <c r="A63" i="1"/>
  <c r="AB62" i="1"/>
  <c r="AA62" i="1"/>
  <c r="Z62" i="1"/>
  <c r="Y62" i="1"/>
  <c r="V62" i="1"/>
  <c r="U62" i="1"/>
  <c r="W62" i="1" s="1"/>
  <c r="T62" i="1"/>
  <c r="X62" i="1" s="1"/>
  <c r="S62" i="1"/>
  <c r="A62" i="1"/>
  <c r="AB61" i="1"/>
  <c r="AA61" i="1"/>
  <c r="Z61" i="1"/>
  <c r="Y61" i="1"/>
  <c r="X61" i="1"/>
  <c r="W61" i="1"/>
  <c r="V61" i="1"/>
  <c r="U61" i="1"/>
  <c r="T61" i="1"/>
  <c r="S61" i="1"/>
  <c r="A61" i="1"/>
  <c r="AB60" i="1"/>
  <c r="AA60" i="1"/>
  <c r="Z60" i="1"/>
  <c r="Y60" i="1"/>
  <c r="X60" i="1"/>
  <c r="V60" i="1"/>
  <c r="U60" i="1"/>
  <c r="W60" i="1" s="1"/>
  <c r="T60" i="1"/>
  <c r="S60" i="1"/>
  <c r="A60" i="1"/>
  <c r="AB59" i="1"/>
  <c r="AA59" i="1"/>
  <c r="Z59" i="1"/>
  <c r="Y59" i="1"/>
  <c r="V59" i="1"/>
  <c r="U59" i="1"/>
  <c r="W59" i="1" s="1"/>
  <c r="T59" i="1"/>
  <c r="X59" i="1" s="1"/>
  <c r="S59" i="1"/>
  <c r="A59" i="1"/>
  <c r="AB58" i="1"/>
  <c r="AA58" i="1"/>
  <c r="Z58" i="1"/>
  <c r="Y58" i="1"/>
  <c r="X58" i="1"/>
  <c r="W58" i="1"/>
  <c r="V58" i="1"/>
  <c r="U58" i="1"/>
  <c r="T58" i="1"/>
  <c r="S58" i="1"/>
  <c r="A58" i="1"/>
  <c r="AB57" i="1"/>
  <c r="AA57" i="1"/>
  <c r="Z57" i="1"/>
  <c r="Y57" i="1"/>
  <c r="V57" i="1"/>
  <c r="U57" i="1"/>
  <c r="W57" i="1" s="1"/>
  <c r="T57" i="1"/>
  <c r="X57" i="1" s="1"/>
  <c r="S57" i="1"/>
  <c r="A57" i="1"/>
  <c r="AB56" i="1"/>
  <c r="AA56" i="1"/>
  <c r="Z56" i="1"/>
  <c r="Y56" i="1"/>
  <c r="V56" i="1"/>
  <c r="U56" i="1"/>
  <c r="W56" i="1" s="1"/>
  <c r="T56" i="1"/>
  <c r="X56" i="1" s="1"/>
  <c r="S56" i="1"/>
  <c r="A56" i="1"/>
  <c r="AB55" i="1"/>
  <c r="AA55" i="1"/>
  <c r="Z55" i="1"/>
  <c r="Y55" i="1"/>
  <c r="X55" i="1"/>
  <c r="W55" i="1"/>
  <c r="V55" i="1"/>
  <c r="U55" i="1"/>
  <c r="T55" i="1"/>
  <c r="S55" i="1"/>
  <c r="A55" i="1"/>
  <c r="AB54" i="1"/>
  <c r="AA54" i="1"/>
  <c r="Z54" i="1"/>
  <c r="Y54" i="1"/>
  <c r="V54" i="1"/>
  <c r="U54" i="1"/>
  <c r="W54" i="1" s="1"/>
  <c r="T54" i="1"/>
  <c r="X54" i="1" s="1"/>
  <c r="S54" i="1"/>
  <c r="A54" i="1"/>
  <c r="AB53" i="1"/>
  <c r="AA53" i="1"/>
  <c r="Z53" i="1"/>
  <c r="Y53" i="1"/>
  <c r="X53" i="1"/>
  <c r="W53" i="1"/>
  <c r="V53" i="1"/>
  <c r="U53" i="1"/>
  <c r="T53" i="1"/>
  <c r="S53" i="1"/>
  <c r="A53" i="1"/>
  <c r="AB52" i="1"/>
  <c r="AA52" i="1"/>
  <c r="Z52" i="1"/>
  <c r="Y52" i="1"/>
  <c r="X52" i="1"/>
  <c r="V52" i="1"/>
  <c r="U52" i="1"/>
  <c r="W52" i="1" s="1"/>
  <c r="T52" i="1"/>
  <c r="S52" i="1"/>
  <c r="A52" i="1"/>
  <c r="AB51" i="1"/>
  <c r="AA51" i="1"/>
  <c r="Z51" i="1"/>
  <c r="Y51" i="1"/>
  <c r="V51" i="1"/>
  <c r="U51" i="1"/>
  <c r="W51" i="1" s="1"/>
  <c r="T51" i="1"/>
  <c r="X51" i="1" s="1"/>
  <c r="S51" i="1"/>
  <c r="A51" i="1"/>
  <c r="AB50" i="1"/>
  <c r="AA50" i="1"/>
  <c r="Z50" i="1"/>
  <c r="Y50" i="1"/>
  <c r="X50" i="1"/>
  <c r="W50" i="1"/>
  <c r="V50" i="1"/>
  <c r="U50" i="1"/>
  <c r="T50" i="1"/>
  <c r="S50" i="1"/>
  <c r="A50" i="1"/>
  <c r="AB49" i="1"/>
  <c r="AA49" i="1"/>
  <c r="Z49" i="1"/>
  <c r="Y49" i="1"/>
  <c r="V49" i="1"/>
  <c r="U49" i="1"/>
  <c r="W49" i="1" s="1"/>
  <c r="T49" i="1"/>
  <c r="X49" i="1" s="1"/>
  <c r="S49" i="1"/>
  <c r="A49" i="1"/>
  <c r="AB48" i="1"/>
  <c r="AA48" i="1"/>
  <c r="Z48" i="1"/>
  <c r="Y48" i="1"/>
  <c r="V48" i="1"/>
  <c r="U48" i="1"/>
  <c r="W48" i="1" s="1"/>
  <c r="T48" i="1"/>
  <c r="X48" i="1" s="1"/>
  <c r="S48" i="1"/>
  <c r="A48" i="1"/>
  <c r="AB47" i="1"/>
  <c r="AA47" i="1"/>
  <c r="Z47" i="1"/>
  <c r="Y47" i="1"/>
  <c r="X47" i="1"/>
  <c r="W47" i="1"/>
  <c r="V47" i="1"/>
  <c r="U47" i="1"/>
  <c r="T47" i="1"/>
  <c r="S47" i="1"/>
  <c r="A47" i="1"/>
  <c r="AB46" i="1"/>
  <c r="AA46" i="1"/>
  <c r="Z46" i="1"/>
  <c r="Y46" i="1"/>
  <c r="V46" i="1"/>
  <c r="U46" i="1"/>
  <c r="W46" i="1" s="1"/>
  <c r="T46" i="1"/>
  <c r="X46" i="1" s="1"/>
  <c r="S46" i="1"/>
  <c r="A46" i="1"/>
  <c r="AB45" i="1"/>
  <c r="AA45" i="1"/>
  <c r="Z45" i="1"/>
  <c r="Y45" i="1"/>
  <c r="X45" i="1"/>
  <c r="W45" i="1"/>
  <c r="V45" i="1"/>
  <c r="U45" i="1"/>
  <c r="T45" i="1"/>
  <c r="S45" i="1"/>
  <c r="A45" i="1"/>
  <c r="AB44" i="1"/>
  <c r="AA44" i="1"/>
  <c r="Z44" i="1"/>
  <c r="Y44" i="1"/>
  <c r="V44" i="1"/>
  <c r="U44" i="1"/>
  <c r="W44" i="1" s="1"/>
  <c r="T44" i="1"/>
  <c r="X44" i="1" s="1"/>
  <c r="S44" i="1"/>
  <c r="A44" i="1"/>
  <c r="AB43" i="1"/>
  <c r="AA43" i="1"/>
  <c r="Z43" i="1"/>
  <c r="Y43" i="1"/>
  <c r="V43" i="1"/>
  <c r="U43" i="1"/>
  <c r="W43" i="1" s="1"/>
  <c r="T43" i="1"/>
  <c r="X43" i="1" s="1"/>
  <c r="S43" i="1"/>
  <c r="A43" i="1"/>
  <c r="AB42" i="1"/>
  <c r="AA42" i="1"/>
  <c r="Z42" i="1"/>
  <c r="Y42" i="1"/>
  <c r="X42" i="1"/>
  <c r="W42" i="1"/>
  <c r="V42" i="1"/>
  <c r="U42" i="1"/>
  <c r="T42" i="1"/>
  <c r="S42" i="1"/>
  <c r="A42" i="1"/>
  <c r="AB41" i="1"/>
  <c r="AA41" i="1"/>
  <c r="Z41" i="1"/>
  <c r="Y41" i="1"/>
  <c r="V41" i="1"/>
  <c r="U41" i="1"/>
  <c r="W41" i="1" s="1"/>
  <c r="T41" i="1"/>
  <c r="X41" i="1" s="1"/>
  <c r="S41" i="1"/>
  <c r="A41" i="1"/>
  <c r="AB40" i="1"/>
  <c r="AA40" i="1"/>
  <c r="Z40" i="1"/>
  <c r="Y40" i="1"/>
  <c r="X40" i="1"/>
  <c r="V40" i="1"/>
  <c r="U40" i="1"/>
  <c r="W40" i="1" s="1"/>
  <c r="T40" i="1"/>
  <c r="S40" i="1"/>
  <c r="A40" i="1"/>
  <c r="AB39" i="1"/>
  <c r="AA39" i="1"/>
  <c r="Z39" i="1"/>
  <c r="Y39" i="1"/>
  <c r="X39" i="1"/>
  <c r="W39" i="1"/>
  <c r="V39" i="1"/>
  <c r="U39" i="1"/>
  <c r="T39" i="1"/>
  <c r="S39" i="1"/>
  <c r="A39" i="1"/>
  <c r="AB38" i="1"/>
  <c r="AA38" i="1"/>
  <c r="Z38" i="1"/>
  <c r="Y38" i="1"/>
  <c r="V38" i="1"/>
  <c r="U38" i="1"/>
  <c r="W38" i="1" s="1"/>
  <c r="T38" i="1"/>
  <c r="X38" i="1" s="1"/>
  <c r="S38" i="1"/>
  <c r="A38" i="1"/>
  <c r="AB37" i="1"/>
  <c r="AA37" i="1"/>
  <c r="Z37" i="1"/>
  <c r="Y37" i="1"/>
  <c r="X37" i="1"/>
  <c r="W37" i="1"/>
  <c r="V37" i="1"/>
  <c r="U37" i="1"/>
  <c r="T37" i="1"/>
  <c r="S37" i="1"/>
  <c r="A37" i="1"/>
  <c r="AB36" i="1"/>
  <c r="AA36" i="1"/>
  <c r="Z36" i="1"/>
  <c r="Y36" i="1"/>
  <c r="V36" i="1"/>
  <c r="U36" i="1"/>
  <c r="W36" i="1" s="1"/>
  <c r="T36" i="1"/>
  <c r="X36" i="1" s="1"/>
  <c r="S36" i="1"/>
  <c r="A36" i="1"/>
  <c r="AB35" i="1"/>
  <c r="AA35" i="1"/>
  <c r="Z35" i="1"/>
  <c r="Y35" i="1"/>
  <c r="V35" i="1"/>
  <c r="U35" i="1"/>
  <c r="W35" i="1" s="1"/>
  <c r="T35" i="1"/>
  <c r="X35" i="1" s="1"/>
  <c r="S35" i="1"/>
  <c r="A35" i="1"/>
  <c r="AB34" i="1"/>
  <c r="AA34" i="1"/>
  <c r="Z34" i="1"/>
  <c r="Y34" i="1"/>
  <c r="X34" i="1"/>
  <c r="W34" i="1"/>
  <c r="V34" i="1"/>
  <c r="U34" i="1"/>
  <c r="T34" i="1"/>
  <c r="S34" i="1"/>
  <c r="A34" i="1"/>
  <c r="AB33" i="1"/>
  <c r="AA33" i="1"/>
  <c r="Z33" i="1"/>
  <c r="Y33" i="1"/>
  <c r="V33" i="1"/>
  <c r="U33" i="1"/>
  <c r="W33" i="1" s="1"/>
  <c r="T33" i="1"/>
  <c r="X33" i="1" s="1"/>
  <c r="S33" i="1"/>
  <c r="A33" i="1"/>
  <c r="AB32" i="1"/>
  <c r="AA32" i="1"/>
  <c r="Z32" i="1"/>
  <c r="Y32" i="1"/>
  <c r="X32" i="1"/>
  <c r="V32" i="1"/>
  <c r="U32" i="1"/>
  <c r="W32" i="1" s="1"/>
  <c r="T32" i="1"/>
  <c r="S32" i="1"/>
  <c r="A32" i="1"/>
  <c r="AB31" i="1"/>
  <c r="AA31" i="1"/>
  <c r="Z31" i="1"/>
  <c r="Y31" i="1"/>
  <c r="X31" i="1"/>
  <c r="W31" i="1"/>
  <c r="V31" i="1"/>
  <c r="U31" i="1"/>
  <c r="T31" i="1"/>
  <c r="S31" i="1"/>
  <c r="A31" i="1"/>
  <c r="AB30" i="1"/>
  <c r="AA30" i="1"/>
  <c r="Z30" i="1"/>
  <c r="Y30" i="1"/>
  <c r="V30" i="1"/>
  <c r="U30" i="1"/>
  <c r="W30" i="1" s="1"/>
  <c r="T30" i="1"/>
  <c r="X30" i="1" s="1"/>
  <c r="S30" i="1"/>
  <c r="A30" i="1"/>
  <c r="AB29" i="1"/>
  <c r="AA29" i="1"/>
  <c r="Z29" i="1"/>
  <c r="Y29" i="1"/>
  <c r="X29" i="1"/>
  <c r="W29" i="1"/>
  <c r="V29" i="1"/>
  <c r="U29" i="1"/>
  <c r="T29" i="1"/>
  <c r="S29" i="1"/>
  <c r="A29" i="1"/>
  <c r="AB28" i="1"/>
  <c r="AA28" i="1"/>
  <c r="Z28" i="1"/>
  <c r="Y28" i="1"/>
  <c r="V28" i="1"/>
  <c r="U28" i="1"/>
  <c r="W28" i="1" s="1"/>
  <c r="T28" i="1"/>
  <c r="X28" i="1" s="1"/>
  <c r="S28" i="1"/>
  <c r="A28" i="1"/>
  <c r="AB27" i="1"/>
  <c r="AA27" i="1"/>
  <c r="Z27" i="1"/>
  <c r="Y27" i="1"/>
  <c r="V27" i="1"/>
  <c r="U27" i="1"/>
  <c r="W27" i="1" s="1"/>
  <c r="T27" i="1"/>
  <c r="X27" i="1" s="1"/>
  <c r="S27" i="1"/>
  <c r="A27" i="1"/>
  <c r="AB26" i="1"/>
  <c r="AA26" i="1"/>
  <c r="Z26" i="1"/>
  <c r="Y26" i="1"/>
  <c r="X26" i="1"/>
  <c r="W26" i="1"/>
  <c r="V26" i="1"/>
  <c r="U26" i="1"/>
  <c r="T26" i="1"/>
  <c r="S26" i="1"/>
  <c r="A26" i="1"/>
  <c r="AB25" i="1"/>
  <c r="AA25" i="1"/>
  <c r="Z25" i="1"/>
  <c r="Y25" i="1"/>
  <c r="V25" i="1"/>
  <c r="U25" i="1"/>
  <c r="W25" i="1" s="1"/>
  <c r="T25" i="1"/>
  <c r="X25" i="1" s="1"/>
  <c r="S25" i="1"/>
  <c r="A25" i="1"/>
  <c r="AB24" i="1"/>
  <c r="AA24" i="1"/>
  <c r="Z24" i="1"/>
  <c r="Y24" i="1"/>
  <c r="X24" i="1"/>
  <c r="V24" i="1"/>
  <c r="U24" i="1"/>
  <c r="W24" i="1" s="1"/>
  <c r="T24" i="1"/>
  <c r="S24" i="1"/>
  <c r="A24" i="1"/>
  <c r="AB23" i="1"/>
  <c r="AA23" i="1"/>
  <c r="Z23" i="1"/>
  <c r="Y23" i="1"/>
  <c r="X23" i="1"/>
  <c r="W23" i="1"/>
  <c r="V23" i="1"/>
  <c r="U23" i="1"/>
  <c r="T23" i="1"/>
  <c r="S23" i="1"/>
  <c r="A23" i="1"/>
  <c r="AB22" i="1"/>
  <c r="AA22" i="1"/>
  <c r="Z22" i="1"/>
  <c r="Y22" i="1"/>
  <c r="V22" i="1"/>
  <c r="U22" i="1"/>
  <c r="W22" i="1" s="1"/>
  <c r="T22" i="1"/>
  <c r="X22" i="1" s="1"/>
  <c r="S22" i="1"/>
  <c r="A22" i="1"/>
  <c r="AB21" i="1"/>
  <c r="AA21" i="1"/>
  <c r="Z21" i="1"/>
  <c r="Y21" i="1"/>
  <c r="X21" i="1"/>
  <c r="W21" i="1"/>
  <c r="V21" i="1"/>
  <c r="U21" i="1"/>
  <c r="T21" i="1"/>
  <c r="S21" i="1"/>
  <c r="A21" i="1"/>
  <c r="AB20" i="1"/>
  <c r="AA20" i="1"/>
  <c r="Z20" i="1"/>
  <c r="Y20" i="1"/>
  <c r="V20" i="1"/>
  <c r="U20" i="1"/>
  <c r="W20" i="1" s="1"/>
  <c r="T20" i="1"/>
  <c r="X20" i="1" s="1"/>
  <c r="S20" i="1"/>
  <c r="A20" i="1"/>
  <c r="AB19" i="1"/>
  <c r="AA19" i="1"/>
  <c r="Z19" i="1"/>
  <c r="Y19" i="1"/>
  <c r="V19" i="1"/>
  <c r="U19" i="1"/>
  <c r="W19" i="1" s="1"/>
  <c r="T19" i="1"/>
  <c r="X19" i="1" s="1"/>
  <c r="S19" i="1"/>
  <c r="A19" i="1"/>
  <c r="AB18" i="1"/>
  <c r="AA18" i="1"/>
  <c r="Z18" i="1"/>
  <c r="Y18" i="1"/>
  <c r="X18" i="1"/>
  <c r="W18" i="1"/>
  <c r="V18" i="1"/>
  <c r="U18" i="1"/>
  <c r="T18" i="1"/>
  <c r="S18" i="1"/>
  <c r="A18" i="1"/>
  <c r="AB17" i="1"/>
  <c r="AA17" i="1"/>
  <c r="Z17" i="1"/>
  <c r="Y17" i="1"/>
  <c r="V17" i="1"/>
  <c r="U17" i="1"/>
  <c r="W17" i="1" s="1"/>
  <c r="T17" i="1"/>
  <c r="X17" i="1" s="1"/>
  <c r="S17" i="1"/>
  <c r="A17" i="1"/>
  <c r="AB16" i="1"/>
  <c r="AA16" i="1"/>
  <c r="Z16" i="1"/>
  <c r="Y16" i="1"/>
  <c r="X16" i="1"/>
  <c r="V16" i="1"/>
  <c r="U16" i="1"/>
  <c r="W16" i="1" s="1"/>
  <c r="T16" i="1"/>
  <c r="S16" i="1"/>
  <c r="A16" i="1"/>
  <c r="AB15" i="1"/>
  <c r="AA15" i="1"/>
  <c r="Z15" i="1"/>
  <c r="Y15" i="1"/>
  <c r="X15" i="1"/>
  <c r="W15" i="1"/>
  <c r="V15" i="1"/>
  <c r="U15" i="1"/>
  <c r="T15" i="1"/>
  <c r="S15" i="1"/>
  <c r="A15" i="1"/>
  <c r="AB14" i="1"/>
  <c r="AA14" i="1"/>
  <c r="Z14" i="1"/>
  <c r="Y14" i="1"/>
  <c r="V14" i="1"/>
  <c r="U14" i="1"/>
  <c r="W14" i="1" s="1"/>
  <c r="T14" i="1"/>
  <c r="X14" i="1" s="1"/>
  <c r="S14" i="1"/>
  <c r="A14" i="1"/>
  <c r="AB13" i="1"/>
  <c r="AA13" i="1"/>
  <c r="Z13" i="1"/>
  <c r="Y13" i="1"/>
  <c r="X13" i="1"/>
  <c r="W13" i="1"/>
  <c r="V13" i="1"/>
  <c r="U13" i="1"/>
  <c r="T13" i="1"/>
  <c r="S13" i="1"/>
  <c r="A13" i="1"/>
  <c r="AB12" i="1"/>
  <c r="AA12" i="1"/>
  <c r="Z12" i="1"/>
  <c r="Y12" i="1"/>
  <c r="V12" i="1"/>
  <c r="U12" i="1"/>
  <c r="W12" i="1" s="1"/>
  <c r="T12" i="1"/>
  <c r="X12" i="1" s="1"/>
  <c r="S12" i="1"/>
  <c r="A12" i="1"/>
  <c r="AB11" i="1"/>
  <c r="AA11" i="1"/>
  <c r="Z11" i="1"/>
  <c r="Y11" i="1"/>
  <c r="V11" i="1"/>
  <c r="U11" i="1"/>
  <c r="W11" i="1" s="1"/>
  <c r="T11" i="1"/>
  <c r="X11" i="1" s="1"/>
  <c r="S11" i="1"/>
  <c r="A11" i="1"/>
  <c r="AB10" i="1"/>
  <c r="AA10" i="1"/>
  <c r="Z10" i="1"/>
  <c r="Y10" i="1"/>
  <c r="X10" i="1"/>
  <c r="W10" i="1"/>
  <c r="V10" i="1"/>
  <c r="U10" i="1"/>
  <c r="T10" i="1"/>
  <c r="S10" i="1"/>
  <c r="A10" i="1"/>
  <c r="AB9" i="1"/>
  <c r="AA9" i="1"/>
  <c r="Z9" i="1"/>
  <c r="Y9" i="1"/>
  <c r="V9" i="1"/>
  <c r="U9" i="1"/>
  <c r="W9" i="1" s="1"/>
  <c r="T9" i="1"/>
  <c r="X9" i="1" s="1"/>
  <c r="S9" i="1"/>
  <c r="A9" i="1"/>
  <c r="AB8" i="1"/>
  <c r="AA8" i="1"/>
  <c r="Z8" i="1"/>
  <c r="Y8" i="1"/>
  <c r="X8" i="1"/>
  <c r="V8" i="1"/>
  <c r="U8" i="1"/>
  <c r="W8" i="1" s="1"/>
  <c r="T8" i="1"/>
  <c r="S8" i="1"/>
  <c r="A8" i="1"/>
  <c r="AB7" i="1"/>
  <c r="AA7" i="1"/>
  <c r="Z7" i="1"/>
  <c r="Y7" i="1"/>
  <c r="X7" i="1"/>
  <c r="W7" i="1"/>
  <c r="V7" i="1"/>
  <c r="U7" i="1"/>
  <c r="T7" i="1"/>
  <c r="S7" i="1"/>
  <c r="A7" i="1"/>
  <c r="AB6" i="1"/>
  <c r="AA6" i="1"/>
  <c r="Z6" i="1"/>
  <c r="Y6" i="1"/>
  <c r="V6" i="1"/>
  <c r="U6" i="1"/>
  <c r="W6" i="1" s="1"/>
  <c r="T6" i="1"/>
  <c r="X6" i="1" s="1"/>
  <c r="S6" i="1"/>
  <c r="A6" i="1"/>
  <c r="AB5" i="1"/>
  <c r="AA5" i="1"/>
  <c r="Z5" i="1"/>
  <c r="Y5" i="1"/>
  <c r="X5" i="1"/>
  <c r="W5" i="1"/>
  <c r="V5" i="1"/>
  <c r="U5" i="1"/>
  <c r="T5" i="1"/>
  <c r="S5" i="1"/>
  <c r="A5" i="1"/>
  <c r="AB4" i="1"/>
  <c r="AA4" i="1"/>
  <c r="Z4" i="1"/>
  <c r="Y4" i="1"/>
  <c r="V4" i="1"/>
  <c r="U4" i="1"/>
  <c r="W4" i="1" s="1"/>
  <c r="T4" i="1"/>
  <c r="X4" i="1" s="1"/>
  <c r="S4" i="1"/>
  <c r="A4" i="1"/>
  <c r="AB3" i="1"/>
  <c r="AA3" i="1"/>
  <c r="Z3" i="1"/>
  <c r="Y3" i="1"/>
  <c r="V3" i="1"/>
  <c r="U3" i="1"/>
  <c r="W3" i="1" s="1"/>
  <c r="T3" i="1"/>
  <c r="X3" i="1" s="1"/>
  <c r="S3" i="1"/>
  <c r="A3" i="1"/>
  <c r="AB2" i="1"/>
  <c r="AA2" i="1"/>
  <c r="Z2" i="1"/>
  <c r="Y2" i="1"/>
  <c r="X2" i="1"/>
  <c r="W2" i="1"/>
  <c r="V2" i="1"/>
  <c r="U2" i="1"/>
  <c r="T2" i="1"/>
  <c r="S2" i="1"/>
  <c r="A2" i="1"/>
</calcChain>
</file>

<file path=xl/sharedStrings.xml><?xml version="1.0" encoding="utf-8"?>
<sst xmlns="http://schemas.openxmlformats.org/spreadsheetml/2006/main" count="795" uniqueCount="279">
  <si>
    <t>customerid</t>
  </si>
  <si>
    <t>name</t>
  </si>
  <si>
    <t>phone_number</t>
  </si>
  <si>
    <t>email_id</t>
  </si>
  <si>
    <t>device_id</t>
  </si>
  <si>
    <t>age</t>
  </si>
  <si>
    <t>gender</t>
  </si>
  <si>
    <t>location</t>
  </si>
  <si>
    <t>occupation</t>
  </si>
  <si>
    <t>payment_subscription</t>
  </si>
  <si>
    <t>login_days</t>
  </si>
  <si>
    <t>support_tickets</t>
  </si>
  <si>
    <t>last_transaction_amount</t>
  </si>
  <si>
    <t>last_transaction_category</t>
  </si>
  <si>
    <t>total_transaction_count</t>
  </si>
  <si>
    <t>total_transaction_amount</t>
  </si>
  <si>
    <t>no_of_referrals</t>
  </si>
  <si>
    <t>referral_earning</t>
  </si>
  <si>
    <t>average_transaction_amount</t>
  </si>
  <si>
    <t>purchase_frequency_category</t>
  </si>
  <si>
    <t>Customer_value</t>
  </si>
  <si>
    <t>Gender_e</t>
  </si>
  <si>
    <t>Customervalue_e</t>
  </si>
  <si>
    <t>purchase_frequency_category_e</t>
  </si>
  <si>
    <t>loaction-e</t>
  </si>
  <si>
    <t>Occupation_e</t>
  </si>
  <si>
    <t>Lasttrans_cat_e</t>
  </si>
  <si>
    <t>payment_method_e</t>
  </si>
  <si>
    <t>last_transaction_date</t>
  </si>
  <si>
    <t>last_login_date</t>
  </si>
  <si>
    <t>last_campaign_response</t>
  </si>
  <si>
    <t>subscription_status</t>
  </si>
  <si>
    <t>lifetime_value</t>
  </si>
  <si>
    <t>discount_usage_count</t>
  </si>
  <si>
    <t>support_last_interaction_dat</t>
  </si>
  <si>
    <t>campaign_channel_preference</t>
  </si>
  <si>
    <t>Sophia Smith</t>
  </si>
  <si>
    <t>sophia.smith1@example.com</t>
  </si>
  <si>
    <t>device_1169</t>
  </si>
  <si>
    <t>Female</t>
  </si>
  <si>
    <t>Pune</t>
  </si>
  <si>
    <t>Student</t>
  </si>
  <si>
    <t>Credit Car Inactive</t>
  </si>
  <si>
    <t>Personal Hygiene</t>
  </si>
  <si>
    <t>opened</t>
  </si>
  <si>
    <t>Active</t>
  </si>
  <si>
    <t>Email</t>
  </si>
  <si>
    <t>Emma Williams</t>
  </si>
  <si>
    <t>emma.williams1@example.com</t>
  </si>
  <si>
    <t>device_8994</t>
  </si>
  <si>
    <t>Mumbai</t>
  </si>
  <si>
    <t>Engineer</t>
  </si>
  <si>
    <t>Debit Card Active</t>
  </si>
  <si>
    <t>Skincare</t>
  </si>
  <si>
    <t>clicked</t>
  </si>
  <si>
    <t>Expired</t>
  </si>
  <si>
    <t>SMS</t>
  </si>
  <si>
    <t>Elijah Johnson</t>
  </si>
  <si>
    <t>elijah.johnson1@example.com</t>
  </si>
  <si>
    <t>device_8724</t>
  </si>
  <si>
    <t>Male</t>
  </si>
  <si>
    <t>Chennai</t>
  </si>
  <si>
    <t>Manager</t>
  </si>
  <si>
    <t>Credit Car Active</t>
  </si>
  <si>
    <t>Makeup</t>
  </si>
  <si>
    <t>ignored</t>
  </si>
  <si>
    <t>Cancelled</t>
  </si>
  <si>
    <t>Push Notification</t>
  </si>
  <si>
    <t>Sophia Brown</t>
  </si>
  <si>
    <t>sophia.brown1@example.com</t>
  </si>
  <si>
    <t>device_9308</t>
  </si>
  <si>
    <t>Bangalore</t>
  </si>
  <si>
    <t>Teacher</t>
  </si>
  <si>
    <t>Haircare</t>
  </si>
  <si>
    <t>N/A</t>
  </si>
  <si>
    <t>WhatsApp</t>
  </si>
  <si>
    <t>Noah Williams</t>
  </si>
  <si>
    <t>noah.williams1@example.com</t>
  </si>
  <si>
    <t>device_4582</t>
  </si>
  <si>
    <t>Olivia Smith</t>
  </si>
  <si>
    <t>olivia.smith1@example.com</t>
  </si>
  <si>
    <t>device_9733</t>
  </si>
  <si>
    <t>Delhi</t>
  </si>
  <si>
    <t>UPI</t>
  </si>
  <si>
    <t>Emma Johnson</t>
  </si>
  <si>
    <t>emma.johnson1@example.com</t>
  </si>
  <si>
    <t>device_9451</t>
  </si>
  <si>
    <t>Elijah Johnny</t>
  </si>
  <si>
    <t>elijah.johnson2@example.com</t>
  </si>
  <si>
    <t>device_3776</t>
  </si>
  <si>
    <t>Designer</t>
  </si>
  <si>
    <t>Olivia Johnson</t>
  </si>
  <si>
    <t>olivia.johnson1@example.com</t>
  </si>
  <si>
    <t>device_3804</t>
  </si>
  <si>
    <t>Consultant</t>
  </si>
  <si>
    <t>Sophia Johnson</t>
  </si>
  <si>
    <t>sophia.johnson2@example.com</t>
  </si>
  <si>
    <t>device_2792</t>
  </si>
  <si>
    <t>Liam Williams</t>
  </si>
  <si>
    <t>liam.williams1@example.com</t>
  </si>
  <si>
    <t>device_7385</t>
  </si>
  <si>
    <t>Ava Brown</t>
  </si>
  <si>
    <t>ava.brown1@example.com</t>
  </si>
  <si>
    <t>device_4592</t>
  </si>
  <si>
    <t>Hyderabad</t>
  </si>
  <si>
    <t>James Bond</t>
  </si>
  <si>
    <t>james.smith1@example.com</t>
  </si>
  <si>
    <t>device_2760</t>
  </si>
  <si>
    <t>Noah Will</t>
  </si>
  <si>
    <t>noah.williams2@example.com</t>
  </si>
  <si>
    <t>device_2314</t>
  </si>
  <si>
    <t>Net Banki Inactive</t>
  </si>
  <si>
    <t>James Smith</t>
  </si>
  <si>
    <t>james.smith2@example.com</t>
  </si>
  <si>
    <t>device_4830</t>
  </si>
  <si>
    <t>Net Banki Active</t>
  </si>
  <si>
    <t>Ava Johnson</t>
  </si>
  <si>
    <t>ava.johnson2@example.com</t>
  </si>
  <si>
    <t>device_2262</t>
  </si>
  <si>
    <t>Emma John</t>
  </si>
  <si>
    <t>emma.johnson2@example.com</t>
  </si>
  <si>
    <t>device_3747</t>
  </si>
  <si>
    <t>Noah Jones</t>
  </si>
  <si>
    <t>noah.jones1@example.com</t>
  </si>
  <si>
    <t>device_3467</t>
  </si>
  <si>
    <t>Fragrance</t>
  </si>
  <si>
    <t>Sophia Black</t>
  </si>
  <si>
    <t>sophia.brown@example.com</t>
  </si>
  <si>
    <t>device_7749</t>
  </si>
  <si>
    <t>Joshua Armstrong</t>
  </si>
  <si>
    <t>tanderson@gmail.com</t>
  </si>
  <si>
    <t>device_8722</t>
  </si>
  <si>
    <t>Janet Smith</t>
  </si>
  <si>
    <t>alexandrawallace@perry.info</t>
  </si>
  <si>
    <t>device_3919</t>
  </si>
  <si>
    <t>Sergio Bradford</t>
  </si>
  <si>
    <t>obaldwin@gmail.com</t>
  </si>
  <si>
    <t>device_9187</t>
  </si>
  <si>
    <t>James Hebert</t>
  </si>
  <si>
    <t>kimmatthew@gmail.com</t>
  </si>
  <si>
    <t>device_2020</t>
  </si>
  <si>
    <t>Michele Carroll</t>
  </si>
  <si>
    <t>suttonchristy@lopez.com</t>
  </si>
  <si>
    <t>device_3534</t>
  </si>
  <si>
    <t>Joanna Armstrong</t>
  </si>
  <si>
    <t>jasonreid@hotmail.com</t>
  </si>
  <si>
    <t>device_6801</t>
  </si>
  <si>
    <t>Jamie Mclaughlin</t>
  </si>
  <si>
    <t>richardcaldwell@jackson.com</t>
  </si>
  <si>
    <t>device_6559</t>
  </si>
  <si>
    <t>Jennifer Lawson</t>
  </si>
  <si>
    <t>nelsonkelly@hotmail.com</t>
  </si>
  <si>
    <t>device_5138</t>
  </si>
  <si>
    <t>Jimmy Adams</t>
  </si>
  <si>
    <t>theresa30@jimenez.net</t>
  </si>
  <si>
    <t>device_3035</t>
  </si>
  <si>
    <t>Adriana Caldwell</t>
  </si>
  <si>
    <t>andrewphelps@yahoo.com</t>
  </si>
  <si>
    <t>device_9095</t>
  </si>
  <si>
    <t>Michelle Hall</t>
  </si>
  <si>
    <t>james41@hotmail.com</t>
  </si>
  <si>
    <t>device_2504</t>
  </si>
  <si>
    <t>Elizabeth Sullivan</t>
  </si>
  <si>
    <t>terrellstacey@king-pennington.com</t>
  </si>
  <si>
    <t>device_5579</t>
  </si>
  <si>
    <t>Holly Edwards</t>
  </si>
  <si>
    <t>davidsimmons@yahoo.com</t>
  </si>
  <si>
    <t>device_9415</t>
  </si>
  <si>
    <t>Lindsey Williams</t>
  </si>
  <si>
    <t>webbrandy@hernandez.net</t>
  </si>
  <si>
    <t>device_7561</t>
  </si>
  <si>
    <t>Amy Perry</t>
  </si>
  <si>
    <t>norrisamanda@farmer-farmer.com</t>
  </si>
  <si>
    <t>device_5863</t>
  </si>
  <si>
    <t>Pam Booth</t>
  </si>
  <si>
    <t>batessabrina@gmail.com</t>
  </si>
  <si>
    <t>device_8760</t>
  </si>
  <si>
    <t>Jason Johnson</t>
  </si>
  <si>
    <t>derrickmaxwell@gmail.com</t>
  </si>
  <si>
    <t>device_7301</t>
  </si>
  <si>
    <t>Elizabeth Schmidt</t>
  </si>
  <si>
    <t>carlsonjoseph@gmail.com</t>
  </si>
  <si>
    <t>device_9293</t>
  </si>
  <si>
    <t>Megan Santos</t>
  </si>
  <si>
    <t>brandonharris@hotmail.com</t>
  </si>
  <si>
    <t>device_5733</t>
  </si>
  <si>
    <t>Laura Acevedo</t>
  </si>
  <si>
    <t>jessecampbell@yahoo.com</t>
  </si>
  <si>
    <t>device_2522</t>
  </si>
  <si>
    <t>Emily Johnson</t>
  </si>
  <si>
    <t>stephaniehamilton@benton.com</t>
  </si>
  <si>
    <t>device_5062</t>
  </si>
  <si>
    <t>Timothy Jones</t>
  </si>
  <si>
    <t>robinsonanita@gmail.com</t>
  </si>
  <si>
    <t>device_9182</t>
  </si>
  <si>
    <t>Daniel Roach</t>
  </si>
  <si>
    <t>roysanders@jones-bell.biz</t>
  </si>
  <si>
    <t>device_6295</t>
  </si>
  <si>
    <t>Vanessa Lee</t>
  </si>
  <si>
    <t>tammyjacobs@yahoo.com</t>
  </si>
  <si>
    <t>device_1158</t>
  </si>
  <si>
    <t>Bryan Johnson</t>
  </si>
  <si>
    <t>pateljenna@yahoo.com</t>
  </si>
  <si>
    <t>device_9854</t>
  </si>
  <si>
    <t>Isabella Pearson</t>
  </si>
  <si>
    <t>romerobrian@hotmail.com</t>
  </si>
  <si>
    <t>device_1145</t>
  </si>
  <si>
    <t>Megan Williams</t>
  </si>
  <si>
    <t>murrayjuan@kane.info</t>
  </si>
  <si>
    <t>device_4609</t>
  </si>
  <si>
    <t>Jade Lopez</t>
  </si>
  <si>
    <t>colin55@cross.info</t>
  </si>
  <si>
    <t>device_7172</t>
  </si>
  <si>
    <t>Samantha Davis</t>
  </si>
  <si>
    <t>leslie03@yahoo.com</t>
  </si>
  <si>
    <t>device_1059</t>
  </si>
  <si>
    <t>Bradley Ramirez</t>
  </si>
  <si>
    <t>reneefoster@singleton.biz</t>
  </si>
  <si>
    <t>device_6903</t>
  </si>
  <si>
    <t>Jasmine Short</t>
  </si>
  <si>
    <t>vrodriguez@lopez.com</t>
  </si>
  <si>
    <t>device_8063</t>
  </si>
  <si>
    <t>Christine Ross</t>
  </si>
  <si>
    <t>sdickson@juarez.net</t>
  </si>
  <si>
    <t>device_5432</t>
  </si>
  <si>
    <t>Cathy Silva</t>
  </si>
  <si>
    <t>hunterbenson@yahoo.com</t>
  </si>
  <si>
    <t>device_7384</t>
  </si>
  <si>
    <t>Daniel Bradford</t>
  </si>
  <si>
    <t>lthompson@yahoo.com</t>
  </si>
  <si>
    <t>device_2711</t>
  </si>
  <si>
    <t>Kimberly Lloyd</t>
  </si>
  <si>
    <t>ehicks@moore-dunn.com</t>
  </si>
  <si>
    <t>device_9562</t>
  </si>
  <si>
    <t>Alexis Rivera</t>
  </si>
  <si>
    <t>mariahmyers@hotmail.com</t>
  </si>
  <si>
    <t>device_3585</t>
  </si>
  <si>
    <t>Melissa Cunningham</t>
  </si>
  <si>
    <t>kelly19@lynch.com</t>
  </si>
  <si>
    <t>device_2135</t>
  </si>
  <si>
    <t>Ann Beck</t>
  </si>
  <si>
    <t>brendabell@johnson.com</t>
  </si>
  <si>
    <t>device_2912</t>
  </si>
  <si>
    <t>Duane Keith</t>
  </si>
  <si>
    <t>ofinley@hotmail.com</t>
  </si>
  <si>
    <t>device_3896</t>
  </si>
  <si>
    <t>Tamara West</t>
  </si>
  <si>
    <t>smithnicole@hotmail.com</t>
  </si>
  <si>
    <t>device_5340</t>
  </si>
  <si>
    <t>Jennifer Parker</t>
  </si>
  <si>
    <t>joannnewton@gmail.com</t>
  </si>
  <si>
    <t>device_5519</t>
  </si>
  <si>
    <t>Neil Wilson</t>
  </si>
  <si>
    <t>sjenkins@benitez-torres.com</t>
  </si>
  <si>
    <t>device_2285</t>
  </si>
  <si>
    <t>Ryan Salas</t>
  </si>
  <si>
    <t>williamstimothy@hotmail.com</t>
  </si>
  <si>
    <t>device_9586</t>
  </si>
  <si>
    <t>Amber Moore</t>
  </si>
  <si>
    <t>anthony31@martinez.info</t>
  </si>
  <si>
    <t>device_2107</t>
  </si>
  <si>
    <t>Linda White</t>
  </si>
  <si>
    <t>dylan43@lewis-ramos.com</t>
  </si>
  <si>
    <t>device_8369</t>
  </si>
  <si>
    <t>Dawn Holmes MD</t>
  </si>
  <si>
    <t>heather14@hotmail.com</t>
  </si>
  <si>
    <t>device_3665</t>
  </si>
  <si>
    <t>Lisa Gonzalez</t>
  </si>
  <si>
    <t>bradleylori@johnson.com</t>
  </si>
  <si>
    <t>device_6803</t>
  </si>
  <si>
    <t>Melissa Clark</t>
  </si>
  <si>
    <t>christopher89@hotmail.com</t>
  </si>
  <si>
    <t>device_7519</t>
  </si>
  <si>
    <t>Cindy Powell</t>
  </si>
  <si>
    <t>williamslinda@hotmail.com</t>
  </si>
  <si>
    <t>device_6653</t>
  </si>
  <si>
    <t>Kristine Wallace</t>
  </si>
  <si>
    <t>piercewilliam@quinn-stephens.com</t>
  </si>
  <si>
    <t>device_9235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</si>
</sst>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  <scheme val="minor"/>
    </font>
    <font>
      <b/>
      <sz val="11"/>
      <name val="Calibri"/>
    </font>
    <font>
      <b/>
      <sz val="10"/>
      <name val="Calibri"/>
    </font>
    <font>
      <sz val="11"/>
      <name val="Calibri"/>
    </font>
    <font>
      <sz val="10"/>
      <name val="Arimo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1" fillId="2" borderId="2" xfId="0" applyFont="1" applyFill="1" applyBorder="1"/>
    <xf numFmtId="0" fontId="1" fillId="0" borderId="0" xfId="0" applyFont="1"/>
    <xf numFmtId="0" fontId="3" fillId="2" borderId="2" xfId="0" applyFont="1" applyFill="1" applyBorder="1"/>
    <xf numFmtId="0" fontId="3" fillId="0" borderId="0" xfId="0" applyFont="1"/>
    <xf numFmtId="0" fontId="4" fillId="0" borderId="0" xfId="0" applyFont="1" applyAlignment="1">
      <alignment vertical="center" wrapText="1"/>
    </xf>
    <xf numFmtId="14" fontId="3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"/>
  <sheetViews>
    <sheetView tabSelected="1" topLeftCell="A7" workbookViewId="0"/>
  </sheetViews>
  <sheetFormatPr defaultColWidth="11.1796875" defaultRowHeight="15" customHeight="1"/>
  <cols>
    <col min="1" max="1" width="8.6328125" customWidth="1"/>
    <col min="2" max="2" width="6.81640625" customWidth="1"/>
    <col min="3" max="3" width="11.36328125" customWidth="1"/>
    <col min="4" max="9" width="6.81640625" customWidth="1"/>
    <col min="10" max="10" width="18" customWidth="1"/>
    <col min="11" max="11" width="9.90625" customWidth="1"/>
    <col min="12" max="12" width="9.6328125" customWidth="1"/>
    <col min="13" max="13" width="19.08984375" customWidth="1"/>
    <col min="14" max="14" width="22.36328125" customWidth="1"/>
    <col min="15" max="16" width="17.453125" customWidth="1"/>
    <col min="17" max="18" width="6.81640625" customWidth="1"/>
    <col min="19" max="19" width="17.54296875" customWidth="1"/>
    <col min="20" max="20" width="21" customWidth="1"/>
    <col min="21" max="22" width="6.81640625" customWidth="1"/>
    <col min="23" max="23" width="13.36328125" customWidth="1"/>
    <col min="24" max="24" width="14.54296875" customWidth="1"/>
    <col min="25" max="25" width="12.453125" customWidth="1"/>
    <col min="26" max="28" width="6.81640625" customWidth="1"/>
    <col min="29" max="29" width="9.6328125" customWidth="1"/>
    <col min="30" max="30" width="9.453125" customWidth="1"/>
    <col min="31" max="34" width="6.81640625" customWidth="1"/>
    <col min="35" max="35" width="12.1796875" customWidth="1"/>
    <col min="36" max="36" width="6.81640625" customWidth="1"/>
  </cols>
  <sheetData>
    <row r="1" spans="1:3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4" t="s">
        <v>20</v>
      </c>
      <c r="V1" s="5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4.25" customHeight="1">
      <c r="A2" t="str">
        <f t="shared" ref="A2:A70" si="0">"CUST11"&amp;TEXT(ROW()-1,"000")</f>
        <v>CUST11001</v>
      </c>
      <c r="B2" t="s">
        <v>36</v>
      </c>
      <c r="C2">
        <v>8012140042</v>
      </c>
      <c r="D2" t="s">
        <v>37</v>
      </c>
      <c r="E2" t="s">
        <v>38</v>
      </c>
      <c r="F2">
        <v>48</v>
      </c>
      <c r="G2" s="6" t="s">
        <v>39</v>
      </c>
      <c r="H2" s="6" t="s">
        <v>40</v>
      </c>
      <c r="I2" s="6" t="s">
        <v>41</v>
      </c>
      <c r="J2" s="6" t="s">
        <v>42</v>
      </c>
      <c r="K2" s="7">
        <v>12</v>
      </c>
      <c r="L2">
        <v>5</v>
      </c>
      <c r="M2">
        <v>3799.23</v>
      </c>
      <c r="N2" s="6" t="s">
        <v>43</v>
      </c>
      <c r="O2">
        <v>16</v>
      </c>
      <c r="P2">
        <v>60787.68</v>
      </c>
      <c r="Q2">
        <v>5</v>
      </c>
      <c r="R2">
        <v>500</v>
      </c>
      <c r="S2">
        <f t="shared" ref="S2:S70" si="1">IF(O2=0, 0, P2/O2)</f>
        <v>3799.23</v>
      </c>
      <c r="T2" s="6" t="str">
        <f t="shared" ref="T2:T70" si="2">IF(O2=0, "No Purchases", IF(O2=1, "Single Purchase", IF(O2&lt;=5, "Few Purchases", "Frequent Buyer")))</f>
        <v>Frequent Buyer</v>
      </c>
      <c r="U2" s="6" t="str">
        <f t="shared" ref="U2:U70" si="3">IF(_xlfn.RANK.EQ(P2, $P$2:$P$71, 0)&lt;=ROUND(COUNT($P$2:$P$71)/3,0), "GOLD", IF(_xlfn.RANK.EQ(P2, $P$2:$P$71, 0)&lt;=ROUND(COUNT($P$2:$P$71)*2/3,0), "SILVER", "BRONZE"))</f>
        <v>GOLD</v>
      </c>
      <c r="V2">
        <f t="shared" ref="V2:V70" si="4">IF(G2="Male",1,0)</f>
        <v>0</v>
      </c>
      <c r="W2" s="8">
        <f t="shared" ref="W2:W70" si="5">IF(U2="GOLD",1,IF(U2="SILVER",2,3))</f>
        <v>1</v>
      </c>
      <c r="X2">
        <f t="shared" ref="X2:X70" si="6">IF(T2="Frequent Buyer",1,IF(T2="Few Purchases",2,3))</f>
        <v>1</v>
      </c>
      <c r="Y2">
        <f t="shared" ref="Y2:Y70" si="7">IF(OR(H2="Bangalore", H2="bangalore"), 1,
IF(OR(H2="Chennai", H2="chennai"), 2,
IF(OR(H2="Delhi", H2="delhi"), 3,
IF(OR(H2="Hyderabad", H2="hyderabad"), 4,
IF(OR(H2="Mumbai", H2="mumbai"), 5,
IF(OR(H2="Pune", H2="pune"), 6, 0))))))</f>
        <v>6</v>
      </c>
      <c r="Z2">
        <f t="shared" ref="Z2:Z70" si="8">IF(OR(I2="Consultant", I2="consultant"), 1,
IF(OR(I2="Designer", I2="designer"), 2,
IF(OR(I2="Engineer", I2="engineer"), 3,
IF(OR(I2="Manager", I2="manager"), 4,
IF(OR(I2="Student", I2="student"), 5,
IF(OR(I2="Teacher", I2="teacher"), 6, 0))))))</f>
        <v>5</v>
      </c>
      <c r="AA2">
        <f t="shared" ref="AA2:AA70" si="9">IF(N2="Personal Hygiene", 1,
 IF(N2="Skincare", 2,
 IF(N2="Makeup", 3,
 IF(N2="Haircare", 4, 0))))</f>
        <v>1</v>
      </c>
      <c r="AB2">
        <f t="shared" ref="AB2:AB70" si="10">IF(ISNUMBER(SEARCH("credit car", LOWER(J2))), 1,
 IF(ISNUMBER(SEARCH("debit card", LOWER(J2))), 2,
 IF(ISNUMBER(SEARCH("upi", LOWER(J2))), 3,
 IF(ISNUMBER(SEARCH("net banki", LOWER(J2))), 4, 0))))</f>
        <v>1</v>
      </c>
      <c r="AC2" s="9">
        <v>45879</v>
      </c>
      <c r="AD2" s="9">
        <v>45901</v>
      </c>
      <c r="AE2" t="s">
        <v>44</v>
      </c>
      <c r="AF2" t="s">
        <v>45</v>
      </c>
      <c r="AG2">
        <v>15200</v>
      </c>
      <c r="AH2">
        <v>3</v>
      </c>
      <c r="AI2" s="9">
        <v>45894</v>
      </c>
      <c r="AJ2" t="s">
        <v>46</v>
      </c>
    </row>
    <row r="3" spans="1:36" ht="14.25" customHeight="1">
      <c r="A3" t="str">
        <f t="shared" si="0"/>
        <v>CUST11002</v>
      </c>
      <c r="B3" t="s">
        <v>47</v>
      </c>
      <c r="C3">
        <v>7886811197</v>
      </c>
      <c r="D3" t="s">
        <v>48</v>
      </c>
      <c r="E3" t="s">
        <v>49</v>
      </c>
      <c r="F3">
        <v>42</v>
      </c>
      <c r="G3" s="6" t="s">
        <v>39</v>
      </c>
      <c r="H3" s="6" t="s">
        <v>50</v>
      </c>
      <c r="I3" s="6" t="s">
        <v>51</v>
      </c>
      <c r="J3" s="6" t="s">
        <v>52</v>
      </c>
      <c r="K3" s="7">
        <v>20</v>
      </c>
      <c r="L3">
        <v>3</v>
      </c>
      <c r="M3">
        <v>290.86</v>
      </c>
      <c r="N3" s="6" t="s">
        <v>53</v>
      </c>
      <c r="O3">
        <v>16</v>
      </c>
      <c r="P3">
        <v>4653.76</v>
      </c>
      <c r="Q3">
        <v>5</v>
      </c>
      <c r="R3">
        <v>500</v>
      </c>
      <c r="S3">
        <f t="shared" si="1"/>
        <v>290.86</v>
      </c>
      <c r="T3" s="6" t="str">
        <f t="shared" si="2"/>
        <v>Frequent Buyer</v>
      </c>
      <c r="U3" s="6" t="str">
        <f t="shared" si="3"/>
        <v>BRONZE</v>
      </c>
      <c r="V3">
        <f t="shared" si="4"/>
        <v>0</v>
      </c>
      <c r="W3" s="8">
        <f t="shared" si="5"/>
        <v>3</v>
      </c>
      <c r="X3">
        <f t="shared" si="6"/>
        <v>1</v>
      </c>
      <c r="Y3">
        <f t="shared" si="7"/>
        <v>5</v>
      </c>
      <c r="Z3">
        <f t="shared" si="8"/>
        <v>3</v>
      </c>
      <c r="AA3">
        <f t="shared" si="9"/>
        <v>2</v>
      </c>
      <c r="AB3">
        <f t="shared" si="10"/>
        <v>2</v>
      </c>
      <c r="AC3" s="9">
        <v>45843</v>
      </c>
      <c r="AD3" s="9">
        <v>45896</v>
      </c>
      <c r="AE3" t="s">
        <v>54</v>
      </c>
      <c r="AF3" t="s">
        <v>55</v>
      </c>
      <c r="AG3">
        <v>24850</v>
      </c>
      <c r="AH3">
        <v>7</v>
      </c>
      <c r="AI3" s="9">
        <v>45868</v>
      </c>
      <c r="AJ3" t="s">
        <v>56</v>
      </c>
    </row>
    <row r="4" spans="1:36" ht="14.25" customHeight="1">
      <c r="A4" t="str">
        <f t="shared" si="0"/>
        <v>CUST11003</v>
      </c>
      <c r="B4" t="s">
        <v>57</v>
      </c>
      <c r="C4">
        <v>7953349775</v>
      </c>
      <c r="D4" t="s">
        <v>58</v>
      </c>
      <c r="E4" t="s">
        <v>59</v>
      </c>
      <c r="F4">
        <v>37</v>
      </c>
      <c r="G4" s="6" t="s">
        <v>60</v>
      </c>
      <c r="H4" s="6" t="s">
        <v>61</v>
      </c>
      <c r="I4" s="6" t="s">
        <v>62</v>
      </c>
      <c r="J4" s="6" t="s">
        <v>63</v>
      </c>
      <c r="K4" s="7">
        <v>30</v>
      </c>
      <c r="L4">
        <v>4</v>
      </c>
      <c r="M4">
        <v>2030.26</v>
      </c>
      <c r="N4" s="6" t="s">
        <v>64</v>
      </c>
      <c r="O4">
        <v>7</v>
      </c>
      <c r="P4">
        <v>14211.82</v>
      </c>
      <c r="Q4">
        <v>9</v>
      </c>
      <c r="R4">
        <v>900</v>
      </c>
      <c r="S4">
        <f t="shared" si="1"/>
        <v>2030.26</v>
      </c>
      <c r="T4" s="6" t="str">
        <f t="shared" si="2"/>
        <v>Frequent Buyer</v>
      </c>
      <c r="U4" s="6" t="str">
        <f t="shared" si="3"/>
        <v>BRONZE</v>
      </c>
      <c r="V4">
        <f t="shared" si="4"/>
        <v>1</v>
      </c>
      <c r="W4" s="8">
        <f t="shared" si="5"/>
        <v>3</v>
      </c>
      <c r="X4">
        <f t="shared" si="6"/>
        <v>1</v>
      </c>
      <c r="Y4">
        <f t="shared" si="7"/>
        <v>2</v>
      </c>
      <c r="Z4">
        <f t="shared" si="8"/>
        <v>4</v>
      </c>
      <c r="AA4">
        <f t="shared" si="9"/>
        <v>3</v>
      </c>
      <c r="AB4">
        <f t="shared" si="10"/>
        <v>1</v>
      </c>
      <c r="AC4" s="9">
        <v>45823</v>
      </c>
      <c r="AD4" s="9">
        <v>45889</v>
      </c>
      <c r="AE4" t="s">
        <v>65</v>
      </c>
      <c r="AF4" t="s">
        <v>66</v>
      </c>
      <c r="AG4">
        <v>33100</v>
      </c>
      <c r="AH4">
        <v>12</v>
      </c>
      <c r="AI4" s="9">
        <v>45848</v>
      </c>
      <c r="AJ4" t="s">
        <v>67</v>
      </c>
    </row>
    <row r="5" spans="1:36" ht="14.25" customHeight="1">
      <c r="A5" t="str">
        <f t="shared" si="0"/>
        <v>CUST11004</v>
      </c>
      <c r="B5" t="s">
        <v>68</v>
      </c>
      <c r="C5">
        <v>8548732098</v>
      </c>
      <c r="D5" t="s">
        <v>69</v>
      </c>
      <c r="E5" t="s">
        <v>70</v>
      </c>
      <c r="F5">
        <v>39</v>
      </c>
      <c r="G5" s="6" t="s">
        <v>39</v>
      </c>
      <c r="H5" s="6" t="s">
        <v>71</v>
      </c>
      <c r="I5" s="6" t="s">
        <v>72</v>
      </c>
      <c r="J5" s="6" t="s">
        <v>42</v>
      </c>
      <c r="K5" s="7">
        <v>7</v>
      </c>
      <c r="L5">
        <v>5</v>
      </c>
      <c r="M5">
        <v>4402.8599999999997</v>
      </c>
      <c r="N5" s="6" t="s">
        <v>73</v>
      </c>
      <c r="O5">
        <v>14</v>
      </c>
      <c r="P5">
        <v>61640.04</v>
      </c>
      <c r="Q5">
        <v>7</v>
      </c>
      <c r="R5">
        <v>700</v>
      </c>
      <c r="S5">
        <f t="shared" si="1"/>
        <v>4402.8599999999997</v>
      </c>
      <c r="T5" s="6" t="str">
        <f t="shared" si="2"/>
        <v>Frequent Buyer</v>
      </c>
      <c r="U5" s="6" t="str">
        <f t="shared" si="3"/>
        <v>GOLD</v>
      </c>
      <c r="V5">
        <f t="shared" si="4"/>
        <v>0</v>
      </c>
      <c r="W5" s="8">
        <f t="shared" si="5"/>
        <v>1</v>
      </c>
      <c r="X5">
        <f t="shared" si="6"/>
        <v>1</v>
      </c>
      <c r="Y5">
        <f t="shared" si="7"/>
        <v>1</v>
      </c>
      <c r="Z5">
        <f t="shared" si="8"/>
        <v>6</v>
      </c>
      <c r="AA5">
        <f t="shared" si="9"/>
        <v>4</v>
      </c>
      <c r="AB5">
        <f t="shared" si="10"/>
        <v>1</v>
      </c>
      <c r="AC5" s="9">
        <v>45805</v>
      </c>
      <c r="AD5" s="9">
        <v>45879</v>
      </c>
      <c r="AE5" t="s">
        <v>74</v>
      </c>
      <c r="AF5" t="s">
        <v>45</v>
      </c>
      <c r="AG5">
        <v>45900</v>
      </c>
      <c r="AH5">
        <v>0</v>
      </c>
      <c r="AI5" s="9">
        <v>45830</v>
      </c>
      <c r="AJ5" t="s">
        <v>75</v>
      </c>
    </row>
    <row r="6" spans="1:36" ht="14.25" customHeight="1">
      <c r="A6" t="str">
        <f t="shared" si="0"/>
        <v>CUST11005</v>
      </c>
      <c r="B6" t="s">
        <v>76</v>
      </c>
      <c r="C6">
        <v>8347122596</v>
      </c>
      <c r="D6" t="s">
        <v>77</v>
      </c>
      <c r="E6" t="s">
        <v>78</v>
      </c>
      <c r="F6">
        <v>42</v>
      </c>
      <c r="G6" s="6" t="s">
        <v>39</v>
      </c>
      <c r="H6" s="6" t="s">
        <v>61</v>
      </c>
      <c r="I6" s="6" t="s">
        <v>72</v>
      </c>
      <c r="J6" s="6" t="s">
        <v>42</v>
      </c>
      <c r="K6" s="7">
        <v>9</v>
      </c>
      <c r="L6">
        <v>4</v>
      </c>
      <c r="M6">
        <v>3720.62</v>
      </c>
      <c r="N6" s="6" t="s">
        <v>64</v>
      </c>
      <c r="O6">
        <v>15</v>
      </c>
      <c r="P6">
        <v>55809.3</v>
      </c>
      <c r="Q6">
        <v>7</v>
      </c>
      <c r="R6">
        <v>700</v>
      </c>
      <c r="S6">
        <f t="shared" si="1"/>
        <v>3720.6200000000003</v>
      </c>
      <c r="T6" s="6" t="str">
        <f t="shared" si="2"/>
        <v>Frequent Buyer</v>
      </c>
      <c r="U6" s="6" t="str">
        <f t="shared" si="3"/>
        <v>GOLD</v>
      </c>
      <c r="V6">
        <f t="shared" si="4"/>
        <v>0</v>
      </c>
      <c r="W6" s="8">
        <f t="shared" si="5"/>
        <v>1</v>
      </c>
      <c r="X6">
        <f t="shared" si="6"/>
        <v>1</v>
      </c>
      <c r="Y6">
        <f t="shared" si="7"/>
        <v>2</v>
      </c>
      <c r="Z6">
        <f t="shared" si="8"/>
        <v>6</v>
      </c>
      <c r="AA6">
        <f t="shared" si="9"/>
        <v>3</v>
      </c>
      <c r="AB6">
        <f t="shared" si="10"/>
        <v>1</v>
      </c>
      <c r="AC6" s="9">
        <v>45759</v>
      </c>
      <c r="AD6" s="9">
        <v>45868</v>
      </c>
      <c r="AE6" t="s">
        <v>44</v>
      </c>
      <c r="AF6" t="s">
        <v>55</v>
      </c>
      <c r="AG6">
        <v>12500</v>
      </c>
      <c r="AH6">
        <v>5</v>
      </c>
      <c r="AI6" s="9">
        <v>45782</v>
      </c>
      <c r="AJ6" t="s">
        <v>46</v>
      </c>
    </row>
    <row r="7" spans="1:36" ht="14.25" customHeight="1">
      <c r="A7" t="str">
        <f t="shared" si="0"/>
        <v>CUST11006</v>
      </c>
      <c r="B7" t="s">
        <v>79</v>
      </c>
      <c r="C7">
        <v>9113552555</v>
      </c>
      <c r="D7" t="s">
        <v>80</v>
      </c>
      <c r="E7" t="s">
        <v>81</v>
      </c>
      <c r="F7">
        <v>39</v>
      </c>
      <c r="G7" s="6" t="s">
        <v>39</v>
      </c>
      <c r="H7" s="6" t="s">
        <v>82</v>
      </c>
      <c r="I7" s="6" t="s">
        <v>41</v>
      </c>
      <c r="J7" s="6" t="s">
        <v>83</v>
      </c>
      <c r="K7" s="7">
        <v>0</v>
      </c>
      <c r="L7">
        <v>1</v>
      </c>
      <c r="M7">
        <v>4481.96</v>
      </c>
      <c r="N7" s="6" t="s">
        <v>53</v>
      </c>
      <c r="O7">
        <v>7</v>
      </c>
      <c r="P7">
        <v>31373.72</v>
      </c>
      <c r="Q7">
        <v>4</v>
      </c>
      <c r="R7">
        <v>400</v>
      </c>
      <c r="S7">
        <f t="shared" si="1"/>
        <v>4481.96</v>
      </c>
      <c r="T7" s="6" t="str">
        <f t="shared" si="2"/>
        <v>Frequent Buyer</v>
      </c>
      <c r="U7" s="6" t="str">
        <f t="shared" si="3"/>
        <v>SILVER</v>
      </c>
      <c r="V7">
        <f t="shared" si="4"/>
        <v>0</v>
      </c>
      <c r="W7" s="8">
        <f t="shared" si="5"/>
        <v>2</v>
      </c>
      <c r="X7">
        <f t="shared" si="6"/>
        <v>1</v>
      </c>
      <c r="Y7">
        <f t="shared" si="7"/>
        <v>3</v>
      </c>
      <c r="Z7">
        <f t="shared" si="8"/>
        <v>5</v>
      </c>
      <c r="AA7">
        <f t="shared" si="9"/>
        <v>2</v>
      </c>
      <c r="AB7">
        <f t="shared" si="10"/>
        <v>3</v>
      </c>
      <c r="AC7" s="9">
        <v>45746</v>
      </c>
      <c r="AD7" s="9">
        <v>45853</v>
      </c>
      <c r="AE7" t="s">
        <v>54</v>
      </c>
      <c r="AF7" t="s">
        <v>66</v>
      </c>
      <c r="AG7">
        <v>39950</v>
      </c>
      <c r="AH7">
        <v>9</v>
      </c>
      <c r="AI7" s="9">
        <v>45765</v>
      </c>
      <c r="AJ7" t="s">
        <v>56</v>
      </c>
    </row>
    <row r="8" spans="1:36" ht="14.25" customHeight="1">
      <c r="A8" t="str">
        <f t="shared" si="0"/>
        <v>CUST11007</v>
      </c>
      <c r="B8" t="s">
        <v>84</v>
      </c>
      <c r="C8">
        <v>7888004902</v>
      </c>
      <c r="D8" t="s">
        <v>85</v>
      </c>
      <c r="E8" t="s">
        <v>86</v>
      </c>
      <c r="F8">
        <v>30</v>
      </c>
      <c r="G8" s="6" t="s">
        <v>60</v>
      </c>
      <c r="H8" s="6" t="s">
        <v>50</v>
      </c>
      <c r="I8" s="6" t="s">
        <v>51</v>
      </c>
      <c r="J8" s="6" t="s">
        <v>83</v>
      </c>
      <c r="K8" s="7">
        <v>0</v>
      </c>
      <c r="L8">
        <v>3</v>
      </c>
      <c r="M8">
        <v>2340.31</v>
      </c>
      <c r="N8" s="6" t="s">
        <v>43</v>
      </c>
      <c r="O8">
        <v>10</v>
      </c>
      <c r="P8">
        <v>23403.1</v>
      </c>
      <c r="Q8">
        <v>3</v>
      </c>
      <c r="R8">
        <v>300</v>
      </c>
      <c r="S8">
        <f t="shared" si="1"/>
        <v>2340.31</v>
      </c>
      <c r="T8" s="6" t="str">
        <f t="shared" si="2"/>
        <v>Frequent Buyer</v>
      </c>
      <c r="U8" s="6" t="str">
        <f t="shared" si="3"/>
        <v>SILVER</v>
      </c>
      <c r="V8">
        <f t="shared" si="4"/>
        <v>1</v>
      </c>
      <c r="W8" s="8">
        <f t="shared" si="5"/>
        <v>2</v>
      </c>
      <c r="X8">
        <f t="shared" si="6"/>
        <v>1</v>
      </c>
      <c r="Y8">
        <f t="shared" si="7"/>
        <v>5</v>
      </c>
      <c r="Z8">
        <f t="shared" si="8"/>
        <v>3</v>
      </c>
      <c r="AA8">
        <f t="shared" si="9"/>
        <v>1</v>
      </c>
      <c r="AB8">
        <f t="shared" si="10"/>
        <v>3</v>
      </c>
      <c r="AC8" s="9">
        <v>45702</v>
      </c>
      <c r="AD8" s="9">
        <v>45839</v>
      </c>
      <c r="AE8" t="s">
        <v>65</v>
      </c>
      <c r="AF8" t="s">
        <v>45</v>
      </c>
      <c r="AG8">
        <v>21200</v>
      </c>
      <c r="AH8">
        <v>2</v>
      </c>
      <c r="AI8" s="9">
        <v>45728</v>
      </c>
      <c r="AJ8" t="s">
        <v>67</v>
      </c>
    </row>
    <row r="9" spans="1:36" ht="14.25" customHeight="1">
      <c r="A9" t="str">
        <f t="shared" si="0"/>
        <v>CUST11008</v>
      </c>
      <c r="B9" t="s">
        <v>87</v>
      </c>
      <c r="C9">
        <v>8208818620</v>
      </c>
      <c r="D9" t="s">
        <v>88</v>
      </c>
      <c r="E9" t="s">
        <v>89</v>
      </c>
      <c r="F9">
        <v>39</v>
      </c>
      <c r="G9" s="6" t="s">
        <v>39</v>
      </c>
      <c r="H9" s="6" t="s">
        <v>82</v>
      </c>
      <c r="I9" s="6" t="s">
        <v>90</v>
      </c>
      <c r="J9" s="6" t="s">
        <v>52</v>
      </c>
      <c r="K9" s="7">
        <v>25</v>
      </c>
      <c r="L9">
        <v>4</v>
      </c>
      <c r="M9">
        <v>4479.3900000000003</v>
      </c>
      <c r="N9" s="6" t="s">
        <v>73</v>
      </c>
      <c r="O9">
        <v>5</v>
      </c>
      <c r="P9">
        <v>22396.95</v>
      </c>
      <c r="Q9">
        <v>8</v>
      </c>
      <c r="R9">
        <v>800</v>
      </c>
      <c r="S9">
        <f t="shared" si="1"/>
        <v>4479.3900000000003</v>
      </c>
      <c r="T9" s="6" t="str">
        <f t="shared" si="2"/>
        <v>Few Purchases</v>
      </c>
      <c r="U9" s="6" t="str">
        <f t="shared" si="3"/>
        <v>BRONZE</v>
      </c>
      <c r="V9">
        <f t="shared" si="4"/>
        <v>0</v>
      </c>
      <c r="W9" s="8">
        <f t="shared" si="5"/>
        <v>3</v>
      </c>
      <c r="X9">
        <f t="shared" si="6"/>
        <v>2</v>
      </c>
      <c r="Y9">
        <f t="shared" si="7"/>
        <v>3</v>
      </c>
      <c r="Z9">
        <f t="shared" si="8"/>
        <v>2</v>
      </c>
      <c r="AA9">
        <f t="shared" si="9"/>
        <v>4</v>
      </c>
      <c r="AB9">
        <f t="shared" si="10"/>
        <v>2</v>
      </c>
      <c r="AC9" s="9">
        <v>45682</v>
      </c>
      <c r="AD9" s="9">
        <v>45826</v>
      </c>
      <c r="AE9" t="s">
        <v>74</v>
      </c>
      <c r="AF9" t="s">
        <v>55</v>
      </c>
      <c r="AG9">
        <v>30500</v>
      </c>
      <c r="AH9">
        <v>11</v>
      </c>
      <c r="AI9" s="9">
        <v>45713</v>
      </c>
      <c r="AJ9" t="s">
        <v>46</v>
      </c>
    </row>
    <row r="10" spans="1:36" ht="14.25" customHeight="1">
      <c r="A10" t="str">
        <f t="shared" si="0"/>
        <v>CUST11009</v>
      </c>
      <c r="B10" t="s">
        <v>91</v>
      </c>
      <c r="C10">
        <v>8521952950</v>
      </c>
      <c r="D10" t="s">
        <v>92</v>
      </c>
      <c r="E10" t="s">
        <v>93</v>
      </c>
      <c r="F10">
        <v>57</v>
      </c>
      <c r="G10" s="6" t="s">
        <v>60</v>
      </c>
      <c r="H10" s="6" t="s">
        <v>71</v>
      </c>
      <c r="I10" s="6" t="s">
        <v>94</v>
      </c>
      <c r="J10" s="6" t="s">
        <v>42</v>
      </c>
      <c r="K10" s="7">
        <v>22</v>
      </c>
      <c r="L10">
        <v>2</v>
      </c>
      <c r="M10">
        <v>1481.19</v>
      </c>
      <c r="N10" s="6" t="s">
        <v>73</v>
      </c>
      <c r="O10">
        <v>1</v>
      </c>
      <c r="P10">
        <v>5924.76</v>
      </c>
      <c r="Q10">
        <v>11</v>
      </c>
      <c r="R10">
        <v>1100</v>
      </c>
      <c r="S10">
        <f t="shared" si="1"/>
        <v>5924.76</v>
      </c>
      <c r="T10" s="6" t="str">
        <f t="shared" si="2"/>
        <v>Single Purchase</v>
      </c>
      <c r="U10" s="6" t="str">
        <f t="shared" si="3"/>
        <v>BRONZE</v>
      </c>
      <c r="V10">
        <f t="shared" si="4"/>
        <v>1</v>
      </c>
      <c r="W10" s="8">
        <f t="shared" si="5"/>
        <v>3</v>
      </c>
      <c r="X10">
        <f t="shared" si="6"/>
        <v>3</v>
      </c>
      <c r="Y10">
        <f t="shared" si="7"/>
        <v>1</v>
      </c>
      <c r="Z10">
        <f t="shared" si="8"/>
        <v>1</v>
      </c>
      <c r="AA10">
        <f t="shared" si="9"/>
        <v>4</v>
      </c>
      <c r="AB10">
        <f t="shared" si="10"/>
        <v>1</v>
      </c>
      <c r="AC10" s="9">
        <v>45645</v>
      </c>
      <c r="AD10" s="9">
        <v>45813</v>
      </c>
      <c r="AE10" t="s">
        <v>54</v>
      </c>
      <c r="AF10" t="s">
        <v>45</v>
      </c>
      <c r="AG10">
        <v>18750</v>
      </c>
      <c r="AH10">
        <v>6</v>
      </c>
      <c r="AI10" s="9">
        <v>45687</v>
      </c>
      <c r="AJ10" t="s">
        <v>75</v>
      </c>
    </row>
    <row r="11" spans="1:36" ht="14.25" customHeight="1">
      <c r="A11" t="str">
        <f t="shared" si="0"/>
        <v>CUST11010</v>
      </c>
      <c r="B11" t="s">
        <v>95</v>
      </c>
      <c r="C11">
        <v>7907402407</v>
      </c>
      <c r="D11" t="s">
        <v>96</v>
      </c>
      <c r="E11" t="s">
        <v>97</v>
      </c>
      <c r="F11">
        <v>20</v>
      </c>
      <c r="G11" s="6" t="s">
        <v>60</v>
      </c>
      <c r="H11" s="6" t="s">
        <v>50</v>
      </c>
      <c r="I11" s="6" t="s">
        <v>90</v>
      </c>
      <c r="J11" s="6" t="s">
        <v>83</v>
      </c>
      <c r="K11" s="7">
        <v>28</v>
      </c>
      <c r="L11">
        <v>1</v>
      </c>
      <c r="M11">
        <v>2495.75</v>
      </c>
      <c r="N11" s="6" t="s">
        <v>53</v>
      </c>
      <c r="O11">
        <v>3</v>
      </c>
      <c r="P11">
        <v>7487.25</v>
      </c>
      <c r="Q11">
        <v>6</v>
      </c>
      <c r="R11">
        <v>600</v>
      </c>
      <c r="S11">
        <f t="shared" si="1"/>
        <v>2495.75</v>
      </c>
      <c r="T11" s="6" t="str">
        <f t="shared" si="2"/>
        <v>Few Purchases</v>
      </c>
      <c r="U11" s="6" t="str">
        <f t="shared" si="3"/>
        <v>BRONZE</v>
      </c>
      <c r="V11">
        <f t="shared" si="4"/>
        <v>1</v>
      </c>
      <c r="W11" s="8">
        <f t="shared" si="5"/>
        <v>3</v>
      </c>
      <c r="X11">
        <f t="shared" si="6"/>
        <v>2</v>
      </c>
      <c r="Y11">
        <f t="shared" si="7"/>
        <v>5</v>
      </c>
      <c r="Z11">
        <f t="shared" si="8"/>
        <v>2</v>
      </c>
      <c r="AA11">
        <f t="shared" si="9"/>
        <v>2</v>
      </c>
      <c r="AB11">
        <f t="shared" si="10"/>
        <v>3</v>
      </c>
      <c r="AC11" s="9">
        <v>45606</v>
      </c>
      <c r="AD11" s="9">
        <v>45802</v>
      </c>
      <c r="AE11" t="s">
        <v>44</v>
      </c>
      <c r="AF11" t="s">
        <v>66</v>
      </c>
      <c r="AG11">
        <v>47200</v>
      </c>
      <c r="AH11">
        <v>1</v>
      </c>
      <c r="AI11" s="9">
        <v>45641</v>
      </c>
      <c r="AJ11" t="s">
        <v>56</v>
      </c>
    </row>
    <row r="12" spans="1:36" ht="14.25" customHeight="1">
      <c r="A12" t="str">
        <f t="shared" si="0"/>
        <v>CUST11011</v>
      </c>
      <c r="B12" t="s">
        <v>98</v>
      </c>
      <c r="C12">
        <v>9402864883</v>
      </c>
      <c r="D12" t="s">
        <v>99</v>
      </c>
      <c r="E12" t="s">
        <v>100</v>
      </c>
      <c r="F12">
        <v>20</v>
      </c>
      <c r="G12" s="6" t="s">
        <v>60</v>
      </c>
      <c r="H12" s="6" t="s">
        <v>50</v>
      </c>
      <c r="I12" s="6" t="s">
        <v>72</v>
      </c>
      <c r="J12" s="6" t="s">
        <v>52</v>
      </c>
      <c r="K12" s="7">
        <v>8</v>
      </c>
      <c r="L12">
        <v>2</v>
      </c>
      <c r="M12">
        <v>3721.32</v>
      </c>
      <c r="N12" s="6" t="s">
        <v>43</v>
      </c>
      <c r="O12">
        <v>1</v>
      </c>
      <c r="P12">
        <v>3721.32</v>
      </c>
      <c r="Q12">
        <v>20</v>
      </c>
      <c r="R12">
        <v>2000</v>
      </c>
      <c r="S12">
        <f t="shared" si="1"/>
        <v>3721.32</v>
      </c>
      <c r="T12" s="6" t="str">
        <f t="shared" si="2"/>
        <v>Single Purchase</v>
      </c>
      <c r="U12" s="6" t="str">
        <f t="shared" si="3"/>
        <v>BRONZE</v>
      </c>
      <c r="V12">
        <f t="shared" si="4"/>
        <v>1</v>
      </c>
      <c r="W12" s="8">
        <f t="shared" si="5"/>
        <v>3</v>
      </c>
      <c r="X12">
        <f t="shared" si="6"/>
        <v>3</v>
      </c>
      <c r="Y12">
        <f t="shared" si="7"/>
        <v>5</v>
      </c>
      <c r="Z12">
        <f t="shared" si="8"/>
        <v>6</v>
      </c>
      <c r="AA12">
        <f t="shared" si="9"/>
        <v>1</v>
      </c>
      <c r="AB12">
        <f t="shared" si="10"/>
        <v>2</v>
      </c>
      <c r="AC12" s="9">
        <v>45570</v>
      </c>
      <c r="AD12" s="9">
        <v>45787</v>
      </c>
      <c r="AE12" t="s">
        <v>65</v>
      </c>
      <c r="AF12" t="s">
        <v>45</v>
      </c>
      <c r="AG12">
        <v>29400</v>
      </c>
      <c r="AH12">
        <v>4</v>
      </c>
      <c r="AI12" s="9">
        <v>45618</v>
      </c>
      <c r="AJ12" t="s">
        <v>46</v>
      </c>
    </row>
    <row r="13" spans="1:36" ht="14.25" customHeight="1">
      <c r="A13" t="str">
        <f t="shared" si="0"/>
        <v>CUST11012</v>
      </c>
      <c r="B13" t="s">
        <v>101</v>
      </c>
      <c r="C13">
        <v>9959125831</v>
      </c>
      <c r="D13" t="s">
        <v>102</v>
      </c>
      <c r="E13" t="s">
        <v>103</v>
      </c>
      <c r="F13">
        <v>51</v>
      </c>
      <c r="G13" s="6" t="s">
        <v>39</v>
      </c>
      <c r="H13" s="6" t="s">
        <v>104</v>
      </c>
      <c r="I13" s="6" t="s">
        <v>62</v>
      </c>
      <c r="J13" s="6" t="s">
        <v>42</v>
      </c>
      <c r="K13" s="7">
        <v>10</v>
      </c>
      <c r="L13">
        <v>3</v>
      </c>
      <c r="M13">
        <v>3534.9</v>
      </c>
      <c r="N13" s="6" t="s">
        <v>43</v>
      </c>
      <c r="O13">
        <v>11</v>
      </c>
      <c r="P13">
        <v>38883.9</v>
      </c>
      <c r="Q13">
        <v>10</v>
      </c>
      <c r="R13">
        <v>1000</v>
      </c>
      <c r="S13">
        <f t="shared" si="1"/>
        <v>3534.9</v>
      </c>
      <c r="T13" s="6" t="str">
        <f t="shared" si="2"/>
        <v>Frequent Buyer</v>
      </c>
      <c r="U13" s="6" t="str">
        <f t="shared" si="3"/>
        <v>SILVER</v>
      </c>
      <c r="V13">
        <f t="shared" si="4"/>
        <v>0</v>
      </c>
      <c r="W13" s="8">
        <f t="shared" si="5"/>
        <v>2</v>
      </c>
      <c r="X13">
        <f t="shared" si="6"/>
        <v>1</v>
      </c>
      <c r="Y13">
        <f t="shared" si="7"/>
        <v>4</v>
      </c>
      <c r="Z13">
        <f t="shared" si="8"/>
        <v>4</v>
      </c>
      <c r="AA13">
        <f t="shared" si="9"/>
        <v>1</v>
      </c>
      <c r="AB13">
        <f t="shared" si="10"/>
        <v>1</v>
      </c>
      <c r="AC13" s="9">
        <v>45553</v>
      </c>
      <c r="AD13" s="9">
        <v>45776</v>
      </c>
      <c r="AE13" t="s">
        <v>74</v>
      </c>
      <c r="AF13" t="s">
        <v>55</v>
      </c>
      <c r="AG13">
        <v>36250</v>
      </c>
      <c r="AH13">
        <v>8</v>
      </c>
      <c r="AI13" s="9">
        <v>45570</v>
      </c>
      <c r="AJ13" t="s">
        <v>67</v>
      </c>
    </row>
    <row r="14" spans="1:36" ht="14.25" customHeight="1">
      <c r="A14" t="str">
        <f t="shared" si="0"/>
        <v>CUST11013</v>
      </c>
      <c r="B14" t="s">
        <v>105</v>
      </c>
      <c r="C14">
        <v>7901918128</v>
      </c>
      <c r="D14" t="s">
        <v>106</v>
      </c>
      <c r="E14" t="s">
        <v>107</v>
      </c>
      <c r="F14">
        <v>32</v>
      </c>
      <c r="G14" s="6" t="s">
        <v>39</v>
      </c>
      <c r="H14" s="6" t="s">
        <v>71</v>
      </c>
      <c r="I14" s="6" t="s">
        <v>41</v>
      </c>
      <c r="J14" s="6" t="s">
        <v>83</v>
      </c>
      <c r="K14" s="7">
        <v>28</v>
      </c>
      <c r="L14">
        <v>1</v>
      </c>
      <c r="M14">
        <v>4906.67</v>
      </c>
      <c r="N14" s="6" t="s">
        <v>73</v>
      </c>
      <c r="O14">
        <v>18</v>
      </c>
      <c r="P14">
        <v>88320.06</v>
      </c>
      <c r="Q14">
        <v>7</v>
      </c>
      <c r="R14">
        <v>700</v>
      </c>
      <c r="S14">
        <f t="shared" si="1"/>
        <v>4906.67</v>
      </c>
      <c r="T14" s="6" t="str">
        <f t="shared" si="2"/>
        <v>Frequent Buyer</v>
      </c>
      <c r="U14" s="6" t="str">
        <f t="shared" si="3"/>
        <v>GOLD</v>
      </c>
      <c r="V14">
        <f t="shared" si="4"/>
        <v>0</v>
      </c>
      <c r="W14" s="8">
        <f t="shared" si="5"/>
        <v>1</v>
      </c>
      <c r="X14">
        <f t="shared" si="6"/>
        <v>1</v>
      </c>
      <c r="Y14">
        <f t="shared" si="7"/>
        <v>1</v>
      </c>
      <c r="Z14">
        <f t="shared" si="8"/>
        <v>5</v>
      </c>
      <c r="AA14">
        <f t="shared" si="9"/>
        <v>4</v>
      </c>
      <c r="AB14">
        <f t="shared" si="10"/>
        <v>3</v>
      </c>
      <c r="AC14" s="9">
        <v>45526</v>
      </c>
      <c r="AD14" s="9">
        <v>45759</v>
      </c>
      <c r="AE14" t="s">
        <v>54</v>
      </c>
      <c r="AF14" t="s">
        <v>45</v>
      </c>
      <c r="AG14">
        <v>41000</v>
      </c>
      <c r="AH14">
        <v>10</v>
      </c>
      <c r="AI14" s="9">
        <v>45553</v>
      </c>
      <c r="AJ14" t="s">
        <v>75</v>
      </c>
    </row>
    <row r="15" spans="1:36" ht="14.25" customHeight="1">
      <c r="A15" t="str">
        <f t="shared" si="0"/>
        <v>CUST11014</v>
      </c>
      <c r="B15" t="s">
        <v>108</v>
      </c>
      <c r="C15">
        <v>9165305402</v>
      </c>
      <c r="D15" t="s">
        <v>109</v>
      </c>
      <c r="E15" t="s">
        <v>110</v>
      </c>
      <c r="F15">
        <v>44</v>
      </c>
      <c r="G15" s="6" t="s">
        <v>39</v>
      </c>
      <c r="H15" s="6" t="s">
        <v>50</v>
      </c>
      <c r="I15" s="6" t="s">
        <v>72</v>
      </c>
      <c r="J15" s="6" t="s">
        <v>111</v>
      </c>
      <c r="K15" s="7">
        <v>13</v>
      </c>
      <c r="L15">
        <v>1</v>
      </c>
      <c r="M15">
        <v>2200.11</v>
      </c>
      <c r="N15" s="6" t="s">
        <v>43</v>
      </c>
      <c r="O15">
        <v>4</v>
      </c>
      <c r="P15">
        <v>8800.44</v>
      </c>
      <c r="Q15">
        <v>7</v>
      </c>
      <c r="R15">
        <v>700</v>
      </c>
      <c r="S15">
        <f t="shared" si="1"/>
        <v>2200.11</v>
      </c>
      <c r="T15" s="6" t="str">
        <f t="shared" si="2"/>
        <v>Few Purchases</v>
      </c>
      <c r="U15" s="6" t="str">
        <f t="shared" si="3"/>
        <v>BRONZE</v>
      </c>
      <c r="V15">
        <f t="shared" si="4"/>
        <v>0</v>
      </c>
      <c r="W15" s="8">
        <f t="shared" si="5"/>
        <v>3</v>
      </c>
      <c r="X15">
        <f t="shared" si="6"/>
        <v>2</v>
      </c>
      <c r="Y15">
        <f t="shared" si="7"/>
        <v>5</v>
      </c>
      <c r="Z15">
        <f t="shared" si="8"/>
        <v>6</v>
      </c>
      <c r="AA15">
        <f t="shared" si="9"/>
        <v>1</v>
      </c>
      <c r="AB15">
        <f t="shared" si="10"/>
        <v>4</v>
      </c>
      <c r="AC15" s="9">
        <v>45487</v>
      </c>
      <c r="AD15" s="9">
        <v>45744</v>
      </c>
      <c r="AE15" t="s">
        <v>44</v>
      </c>
      <c r="AF15" t="s">
        <v>66</v>
      </c>
      <c r="AG15">
        <v>22850</v>
      </c>
      <c r="AH15">
        <v>0</v>
      </c>
      <c r="AI15" s="9">
        <v>45505</v>
      </c>
      <c r="AJ15" t="s">
        <v>56</v>
      </c>
    </row>
    <row r="16" spans="1:36" ht="14.25" customHeight="1">
      <c r="A16" t="str">
        <f t="shared" si="0"/>
        <v>CUST11015</v>
      </c>
      <c r="B16" t="s">
        <v>112</v>
      </c>
      <c r="C16">
        <v>9565204086</v>
      </c>
      <c r="D16" t="s">
        <v>113</v>
      </c>
      <c r="E16" t="s">
        <v>114</v>
      </c>
      <c r="F16">
        <v>32</v>
      </c>
      <c r="G16" s="6" t="s">
        <v>39</v>
      </c>
      <c r="H16" s="6" t="s">
        <v>50</v>
      </c>
      <c r="I16" s="6" t="s">
        <v>72</v>
      </c>
      <c r="J16" s="6" t="s">
        <v>115</v>
      </c>
      <c r="K16" s="7">
        <v>16</v>
      </c>
      <c r="L16">
        <v>2</v>
      </c>
      <c r="M16">
        <v>4152.33</v>
      </c>
      <c r="N16" s="6" t="s">
        <v>53</v>
      </c>
      <c r="O16">
        <v>20</v>
      </c>
      <c r="P16">
        <v>83046.600000000006</v>
      </c>
      <c r="Q16">
        <v>0</v>
      </c>
      <c r="R16">
        <v>0</v>
      </c>
      <c r="S16">
        <f t="shared" si="1"/>
        <v>4152.33</v>
      </c>
      <c r="T16" s="6" t="str">
        <f t="shared" si="2"/>
        <v>Frequent Buyer</v>
      </c>
      <c r="U16" s="6" t="str">
        <f t="shared" si="3"/>
        <v>GOLD</v>
      </c>
      <c r="V16">
        <f t="shared" si="4"/>
        <v>0</v>
      </c>
      <c r="W16" s="8">
        <f t="shared" si="5"/>
        <v>1</v>
      </c>
      <c r="X16">
        <f t="shared" si="6"/>
        <v>1</v>
      </c>
      <c r="Y16">
        <f t="shared" si="7"/>
        <v>5</v>
      </c>
      <c r="Z16">
        <f t="shared" si="8"/>
        <v>6</v>
      </c>
      <c r="AA16">
        <f t="shared" si="9"/>
        <v>2</v>
      </c>
      <c r="AB16">
        <f t="shared" si="10"/>
        <v>4</v>
      </c>
      <c r="AC16" s="9">
        <v>45445</v>
      </c>
      <c r="AD16" s="9">
        <v>45731</v>
      </c>
      <c r="AE16" t="s">
        <v>65</v>
      </c>
      <c r="AF16" t="s">
        <v>55</v>
      </c>
      <c r="AG16">
        <v>34000</v>
      </c>
      <c r="AH16">
        <v>13</v>
      </c>
      <c r="AI16" s="9">
        <v>45483</v>
      </c>
      <c r="AJ16" t="s">
        <v>46</v>
      </c>
    </row>
    <row r="17" spans="1:36" ht="14.25" customHeight="1">
      <c r="A17" t="str">
        <f t="shared" si="0"/>
        <v>CUST11016</v>
      </c>
      <c r="B17" t="s">
        <v>116</v>
      </c>
      <c r="C17">
        <v>7378030760</v>
      </c>
      <c r="D17" t="s">
        <v>117</v>
      </c>
      <c r="E17" t="s">
        <v>118</v>
      </c>
      <c r="F17">
        <v>44</v>
      </c>
      <c r="G17" s="6" t="s">
        <v>39</v>
      </c>
      <c r="H17" s="6" t="s">
        <v>50</v>
      </c>
      <c r="I17" s="6" t="s">
        <v>90</v>
      </c>
      <c r="J17" s="6" t="s">
        <v>42</v>
      </c>
      <c r="K17" s="7">
        <v>6</v>
      </c>
      <c r="L17">
        <v>1</v>
      </c>
      <c r="M17">
        <v>1435.63</v>
      </c>
      <c r="N17" s="6" t="s">
        <v>53</v>
      </c>
      <c r="O17">
        <v>11</v>
      </c>
      <c r="P17">
        <v>15791.93</v>
      </c>
      <c r="Q17">
        <v>7</v>
      </c>
      <c r="R17">
        <v>700</v>
      </c>
      <c r="S17">
        <f t="shared" si="1"/>
        <v>1435.63</v>
      </c>
      <c r="T17" s="6" t="str">
        <f t="shared" si="2"/>
        <v>Frequent Buyer</v>
      </c>
      <c r="U17" s="6" t="str">
        <f t="shared" si="3"/>
        <v>BRONZE</v>
      </c>
      <c r="V17">
        <f t="shared" si="4"/>
        <v>0</v>
      </c>
      <c r="W17" s="8">
        <f t="shared" si="5"/>
        <v>3</v>
      </c>
      <c r="X17">
        <f t="shared" si="6"/>
        <v>1</v>
      </c>
      <c r="Y17">
        <f t="shared" si="7"/>
        <v>5</v>
      </c>
      <c r="Z17">
        <f t="shared" si="8"/>
        <v>2</v>
      </c>
      <c r="AA17">
        <f t="shared" si="9"/>
        <v>2</v>
      </c>
      <c r="AB17">
        <f t="shared" si="10"/>
        <v>1</v>
      </c>
      <c r="AC17" s="9">
        <v>45879</v>
      </c>
      <c r="AD17" s="9">
        <v>45901</v>
      </c>
      <c r="AE17" t="s">
        <v>44</v>
      </c>
      <c r="AF17" t="s">
        <v>45</v>
      </c>
      <c r="AG17">
        <v>15200</v>
      </c>
      <c r="AH17">
        <v>3</v>
      </c>
      <c r="AI17" s="9">
        <v>45894</v>
      </c>
      <c r="AJ17" t="s">
        <v>46</v>
      </c>
    </row>
    <row r="18" spans="1:36" ht="14.25" customHeight="1">
      <c r="A18" t="str">
        <f t="shared" si="0"/>
        <v>CUST11017</v>
      </c>
      <c r="B18" t="s">
        <v>119</v>
      </c>
      <c r="C18">
        <v>8903447693</v>
      </c>
      <c r="D18" t="s">
        <v>120</v>
      </c>
      <c r="E18" t="s">
        <v>121</v>
      </c>
      <c r="F18">
        <v>33</v>
      </c>
      <c r="G18" s="6" t="s">
        <v>39</v>
      </c>
      <c r="H18" s="6" t="s">
        <v>61</v>
      </c>
      <c r="I18" s="6" t="s">
        <v>51</v>
      </c>
      <c r="J18" s="6" t="s">
        <v>111</v>
      </c>
      <c r="K18" s="7">
        <v>3</v>
      </c>
      <c r="L18">
        <v>0</v>
      </c>
      <c r="M18">
        <v>3107.16</v>
      </c>
      <c r="N18" s="6" t="s">
        <v>53</v>
      </c>
      <c r="O18">
        <v>11</v>
      </c>
      <c r="P18">
        <v>34178.76</v>
      </c>
      <c r="Q18">
        <v>12</v>
      </c>
      <c r="R18">
        <v>1200</v>
      </c>
      <c r="S18">
        <f t="shared" si="1"/>
        <v>3107.1600000000003</v>
      </c>
      <c r="T18" s="6" t="str">
        <f t="shared" si="2"/>
        <v>Frequent Buyer</v>
      </c>
      <c r="U18" s="6" t="str">
        <f t="shared" si="3"/>
        <v>SILVER</v>
      </c>
      <c r="V18">
        <f t="shared" si="4"/>
        <v>0</v>
      </c>
      <c r="W18" s="8">
        <f t="shared" si="5"/>
        <v>2</v>
      </c>
      <c r="X18">
        <f t="shared" si="6"/>
        <v>1</v>
      </c>
      <c r="Y18">
        <f t="shared" si="7"/>
        <v>2</v>
      </c>
      <c r="Z18">
        <f t="shared" si="8"/>
        <v>3</v>
      </c>
      <c r="AA18">
        <f t="shared" si="9"/>
        <v>2</v>
      </c>
      <c r="AB18">
        <f t="shared" si="10"/>
        <v>4</v>
      </c>
      <c r="AC18" s="9">
        <v>45843</v>
      </c>
      <c r="AD18" s="9">
        <v>45896</v>
      </c>
      <c r="AE18" t="s">
        <v>54</v>
      </c>
      <c r="AF18" t="s">
        <v>55</v>
      </c>
      <c r="AG18">
        <v>24850</v>
      </c>
      <c r="AH18">
        <v>7</v>
      </c>
      <c r="AI18" s="9">
        <v>45868</v>
      </c>
      <c r="AJ18" t="s">
        <v>56</v>
      </c>
    </row>
    <row r="19" spans="1:36" ht="14.25" customHeight="1">
      <c r="A19" t="str">
        <f t="shared" si="0"/>
        <v>CUST11018</v>
      </c>
      <c r="B19" t="s">
        <v>122</v>
      </c>
      <c r="C19">
        <v>8241487233</v>
      </c>
      <c r="D19" t="s">
        <v>123</v>
      </c>
      <c r="E19" t="s">
        <v>124</v>
      </c>
      <c r="F19">
        <v>49</v>
      </c>
      <c r="G19" s="6" t="s">
        <v>60</v>
      </c>
      <c r="H19" s="6" t="s">
        <v>61</v>
      </c>
      <c r="I19" s="6" t="s">
        <v>90</v>
      </c>
      <c r="J19" s="6" t="s">
        <v>52</v>
      </c>
      <c r="K19" s="7">
        <v>6</v>
      </c>
      <c r="L19">
        <v>1</v>
      </c>
      <c r="M19">
        <v>4246.38</v>
      </c>
      <c r="N19" s="6" t="s">
        <v>125</v>
      </c>
      <c r="O19">
        <v>2</v>
      </c>
      <c r="P19">
        <v>8492.76</v>
      </c>
      <c r="Q19">
        <v>12</v>
      </c>
      <c r="R19">
        <v>1200</v>
      </c>
      <c r="S19">
        <f t="shared" si="1"/>
        <v>4246.38</v>
      </c>
      <c r="T19" s="6" t="str">
        <f t="shared" si="2"/>
        <v>Few Purchases</v>
      </c>
      <c r="U19" s="6" t="str">
        <f t="shared" si="3"/>
        <v>BRONZE</v>
      </c>
      <c r="V19">
        <f t="shared" si="4"/>
        <v>1</v>
      </c>
      <c r="W19" s="8">
        <f t="shared" si="5"/>
        <v>3</v>
      </c>
      <c r="X19">
        <f t="shared" si="6"/>
        <v>2</v>
      </c>
      <c r="Y19">
        <f t="shared" si="7"/>
        <v>2</v>
      </c>
      <c r="Z19">
        <f t="shared" si="8"/>
        <v>2</v>
      </c>
      <c r="AA19">
        <f t="shared" si="9"/>
        <v>0</v>
      </c>
      <c r="AB19">
        <f t="shared" si="10"/>
        <v>2</v>
      </c>
      <c r="AC19" s="9">
        <v>45823</v>
      </c>
      <c r="AD19" s="9">
        <v>45889</v>
      </c>
      <c r="AE19" t="s">
        <v>65</v>
      </c>
      <c r="AF19" t="s">
        <v>66</v>
      </c>
      <c r="AG19">
        <v>33100</v>
      </c>
      <c r="AH19">
        <v>12</v>
      </c>
      <c r="AI19" s="9">
        <v>45848</v>
      </c>
      <c r="AJ19" t="s">
        <v>67</v>
      </c>
    </row>
    <row r="20" spans="1:36" ht="14.25" customHeight="1">
      <c r="A20" t="str">
        <f t="shared" si="0"/>
        <v>CUST11019</v>
      </c>
      <c r="B20" t="s">
        <v>126</v>
      </c>
      <c r="C20">
        <v>8960112567</v>
      </c>
      <c r="D20" t="s">
        <v>127</v>
      </c>
      <c r="E20" t="s">
        <v>128</v>
      </c>
      <c r="F20">
        <v>36</v>
      </c>
      <c r="G20" s="6" t="s">
        <v>39</v>
      </c>
      <c r="H20" s="6" t="s">
        <v>61</v>
      </c>
      <c r="I20" s="6" t="s">
        <v>90</v>
      </c>
      <c r="J20" s="6" t="s">
        <v>83</v>
      </c>
      <c r="K20" s="7">
        <v>0</v>
      </c>
      <c r="L20">
        <v>24</v>
      </c>
      <c r="M20">
        <v>695.14</v>
      </c>
      <c r="N20" s="6" t="s">
        <v>53</v>
      </c>
      <c r="O20">
        <v>7</v>
      </c>
      <c r="P20">
        <v>4865.9799999999996</v>
      </c>
      <c r="Q20">
        <v>6</v>
      </c>
      <c r="R20">
        <v>600</v>
      </c>
      <c r="S20">
        <f t="shared" si="1"/>
        <v>695.14</v>
      </c>
      <c r="T20" s="6" t="str">
        <f t="shared" si="2"/>
        <v>Frequent Buyer</v>
      </c>
      <c r="U20" s="6" t="str">
        <f t="shared" si="3"/>
        <v>BRONZE</v>
      </c>
      <c r="V20">
        <f t="shared" si="4"/>
        <v>0</v>
      </c>
      <c r="W20" s="8">
        <f t="shared" si="5"/>
        <v>3</v>
      </c>
      <c r="X20">
        <f t="shared" si="6"/>
        <v>1</v>
      </c>
      <c r="Y20">
        <f t="shared" si="7"/>
        <v>2</v>
      </c>
      <c r="Z20">
        <f t="shared" si="8"/>
        <v>2</v>
      </c>
      <c r="AA20">
        <f t="shared" si="9"/>
        <v>2</v>
      </c>
      <c r="AB20">
        <f t="shared" si="10"/>
        <v>3</v>
      </c>
      <c r="AC20" s="9">
        <v>45805</v>
      </c>
      <c r="AD20" s="9">
        <v>45879</v>
      </c>
      <c r="AE20" t="s">
        <v>74</v>
      </c>
      <c r="AF20" t="s">
        <v>45</v>
      </c>
      <c r="AG20">
        <v>45900</v>
      </c>
      <c r="AH20">
        <v>0</v>
      </c>
      <c r="AI20" s="9">
        <v>45830</v>
      </c>
      <c r="AJ20" t="s">
        <v>75</v>
      </c>
    </row>
    <row r="21" spans="1:36" ht="14.25" customHeight="1">
      <c r="A21" t="str">
        <f t="shared" si="0"/>
        <v>CUST11020</v>
      </c>
      <c r="B21" t="s">
        <v>129</v>
      </c>
      <c r="C21">
        <v>8696565292</v>
      </c>
      <c r="D21" t="s">
        <v>130</v>
      </c>
      <c r="E21" t="s">
        <v>131</v>
      </c>
      <c r="F21">
        <v>47</v>
      </c>
      <c r="G21" s="6" t="s">
        <v>60</v>
      </c>
      <c r="H21" s="6" t="s">
        <v>61</v>
      </c>
      <c r="I21" s="6" t="s">
        <v>72</v>
      </c>
      <c r="J21" s="6" t="s">
        <v>111</v>
      </c>
      <c r="K21" s="7">
        <v>1</v>
      </c>
      <c r="L21">
        <v>22</v>
      </c>
      <c r="M21">
        <v>3880.98</v>
      </c>
      <c r="N21" s="6" t="s">
        <v>43</v>
      </c>
      <c r="O21">
        <v>12</v>
      </c>
      <c r="P21">
        <v>7140.23</v>
      </c>
      <c r="Q21">
        <v>1</v>
      </c>
      <c r="R21">
        <v>1639</v>
      </c>
      <c r="S21">
        <f t="shared" si="1"/>
        <v>595.01916666666659</v>
      </c>
      <c r="T21" s="6" t="str">
        <f t="shared" si="2"/>
        <v>Frequent Buyer</v>
      </c>
      <c r="U21" s="6" t="str">
        <f t="shared" si="3"/>
        <v>BRONZE</v>
      </c>
      <c r="V21">
        <f t="shared" si="4"/>
        <v>1</v>
      </c>
      <c r="W21" s="8">
        <f t="shared" si="5"/>
        <v>3</v>
      </c>
      <c r="X21">
        <f t="shared" si="6"/>
        <v>1</v>
      </c>
      <c r="Y21">
        <f t="shared" si="7"/>
        <v>2</v>
      </c>
      <c r="Z21">
        <f t="shared" si="8"/>
        <v>6</v>
      </c>
      <c r="AA21">
        <f t="shared" si="9"/>
        <v>1</v>
      </c>
      <c r="AB21">
        <f t="shared" si="10"/>
        <v>4</v>
      </c>
      <c r="AC21" s="9">
        <v>45759</v>
      </c>
      <c r="AD21" s="9">
        <v>45868</v>
      </c>
      <c r="AE21" t="s">
        <v>44</v>
      </c>
      <c r="AF21" t="s">
        <v>55</v>
      </c>
      <c r="AG21">
        <v>12500</v>
      </c>
      <c r="AH21">
        <v>5</v>
      </c>
      <c r="AI21" s="9">
        <v>45782</v>
      </c>
      <c r="AJ21" t="s">
        <v>46</v>
      </c>
    </row>
    <row r="22" spans="1:36" ht="14.25" customHeight="1">
      <c r="A22" t="str">
        <f t="shared" si="0"/>
        <v>CUST11021</v>
      </c>
      <c r="B22" t="s">
        <v>132</v>
      </c>
      <c r="C22">
        <v>8986178139</v>
      </c>
      <c r="D22" t="s">
        <v>133</v>
      </c>
      <c r="E22" t="s">
        <v>134</v>
      </c>
      <c r="F22">
        <v>53</v>
      </c>
      <c r="G22" s="6" t="s">
        <v>39</v>
      </c>
      <c r="H22" s="6" t="s">
        <v>71</v>
      </c>
      <c r="I22" s="6" t="s">
        <v>72</v>
      </c>
      <c r="J22" s="6" t="s">
        <v>42</v>
      </c>
      <c r="K22" s="7">
        <v>9</v>
      </c>
      <c r="L22">
        <v>23</v>
      </c>
      <c r="M22">
        <v>2299.1999999999998</v>
      </c>
      <c r="N22" s="6" t="s">
        <v>73</v>
      </c>
      <c r="O22">
        <v>8</v>
      </c>
      <c r="P22">
        <v>79685.37</v>
      </c>
      <c r="Q22">
        <v>10</v>
      </c>
      <c r="R22">
        <v>802</v>
      </c>
      <c r="S22">
        <f t="shared" si="1"/>
        <v>9960.6712499999994</v>
      </c>
      <c r="T22" s="6" t="str">
        <f t="shared" si="2"/>
        <v>Frequent Buyer</v>
      </c>
      <c r="U22" s="6" t="str">
        <f t="shared" si="3"/>
        <v>GOLD</v>
      </c>
      <c r="V22">
        <f t="shared" si="4"/>
        <v>0</v>
      </c>
      <c r="W22" s="8">
        <f t="shared" si="5"/>
        <v>1</v>
      </c>
      <c r="X22">
        <f t="shared" si="6"/>
        <v>1</v>
      </c>
      <c r="Y22">
        <f t="shared" si="7"/>
        <v>1</v>
      </c>
      <c r="Z22">
        <f t="shared" si="8"/>
        <v>6</v>
      </c>
      <c r="AA22">
        <f t="shared" si="9"/>
        <v>4</v>
      </c>
      <c r="AB22">
        <f t="shared" si="10"/>
        <v>1</v>
      </c>
      <c r="AC22" s="9">
        <v>45746</v>
      </c>
      <c r="AD22" s="9">
        <v>45853</v>
      </c>
      <c r="AE22" t="s">
        <v>54</v>
      </c>
      <c r="AF22" t="s">
        <v>66</v>
      </c>
      <c r="AG22">
        <v>39950</v>
      </c>
      <c r="AH22">
        <v>9</v>
      </c>
      <c r="AI22" s="9">
        <v>45765</v>
      </c>
      <c r="AJ22" t="s">
        <v>56</v>
      </c>
    </row>
    <row r="23" spans="1:36" ht="14.25" customHeight="1">
      <c r="A23" t="str">
        <f t="shared" si="0"/>
        <v>CUST11022</v>
      </c>
      <c r="B23" t="s">
        <v>135</v>
      </c>
      <c r="C23">
        <v>8512282181</v>
      </c>
      <c r="D23" t="s">
        <v>136</v>
      </c>
      <c r="E23" t="s">
        <v>137</v>
      </c>
      <c r="F23">
        <v>20</v>
      </c>
      <c r="G23" s="6" t="s">
        <v>60</v>
      </c>
      <c r="H23" s="6" t="s">
        <v>61</v>
      </c>
      <c r="I23" s="6" t="s">
        <v>72</v>
      </c>
      <c r="J23" s="6" t="s">
        <v>52</v>
      </c>
      <c r="K23" s="7">
        <v>26</v>
      </c>
      <c r="L23">
        <v>12</v>
      </c>
      <c r="M23">
        <v>4653.7</v>
      </c>
      <c r="N23" s="6" t="s">
        <v>53</v>
      </c>
      <c r="O23">
        <v>12</v>
      </c>
      <c r="P23">
        <v>44405.4</v>
      </c>
      <c r="Q23">
        <v>10</v>
      </c>
      <c r="R23">
        <v>801</v>
      </c>
      <c r="S23">
        <f t="shared" si="1"/>
        <v>3700.4500000000003</v>
      </c>
      <c r="T23" s="6" t="str">
        <f t="shared" si="2"/>
        <v>Frequent Buyer</v>
      </c>
      <c r="U23" s="6" t="str">
        <f t="shared" si="3"/>
        <v>SILVER</v>
      </c>
      <c r="V23">
        <f t="shared" si="4"/>
        <v>1</v>
      </c>
      <c r="W23" s="8">
        <f t="shared" si="5"/>
        <v>2</v>
      </c>
      <c r="X23">
        <f t="shared" si="6"/>
        <v>1</v>
      </c>
      <c r="Y23">
        <f t="shared" si="7"/>
        <v>2</v>
      </c>
      <c r="Z23">
        <f t="shared" si="8"/>
        <v>6</v>
      </c>
      <c r="AA23">
        <f t="shared" si="9"/>
        <v>2</v>
      </c>
      <c r="AB23">
        <f t="shared" si="10"/>
        <v>2</v>
      </c>
      <c r="AC23" s="9">
        <v>45702</v>
      </c>
      <c r="AD23" s="9">
        <v>45839</v>
      </c>
      <c r="AE23" t="s">
        <v>65</v>
      </c>
      <c r="AF23" t="s">
        <v>45</v>
      </c>
      <c r="AG23">
        <v>21200</v>
      </c>
      <c r="AH23">
        <v>2</v>
      </c>
      <c r="AI23" s="9">
        <v>45728</v>
      </c>
      <c r="AJ23" t="s">
        <v>67</v>
      </c>
    </row>
    <row r="24" spans="1:36" ht="14.25" customHeight="1">
      <c r="A24" t="str">
        <f t="shared" si="0"/>
        <v>CUST11023</v>
      </c>
      <c r="B24" t="s">
        <v>138</v>
      </c>
      <c r="C24">
        <v>7714617717</v>
      </c>
      <c r="D24" t="s">
        <v>139</v>
      </c>
      <c r="E24" t="s">
        <v>140</v>
      </c>
      <c r="F24">
        <v>43</v>
      </c>
      <c r="G24" s="6" t="s">
        <v>60</v>
      </c>
      <c r="H24" s="6" t="s">
        <v>50</v>
      </c>
      <c r="I24" s="6" t="s">
        <v>72</v>
      </c>
      <c r="J24" s="6" t="s">
        <v>52</v>
      </c>
      <c r="K24" s="7">
        <v>15</v>
      </c>
      <c r="L24">
        <v>9</v>
      </c>
      <c r="M24">
        <v>2822.99</v>
      </c>
      <c r="N24" s="6" t="s">
        <v>73</v>
      </c>
      <c r="O24">
        <v>14</v>
      </c>
      <c r="P24">
        <v>42569.35</v>
      </c>
      <c r="Q24">
        <v>3</v>
      </c>
      <c r="R24">
        <v>428</v>
      </c>
      <c r="S24">
        <f t="shared" si="1"/>
        <v>3040.667857142857</v>
      </c>
      <c r="T24" s="6" t="str">
        <f t="shared" si="2"/>
        <v>Frequent Buyer</v>
      </c>
      <c r="U24" s="6" t="str">
        <f t="shared" si="3"/>
        <v>SILVER</v>
      </c>
      <c r="V24">
        <f t="shared" si="4"/>
        <v>1</v>
      </c>
      <c r="W24" s="8">
        <f t="shared" si="5"/>
        <v>2</v>
      </c>
      <c r="X24">
        <f t="shared" si="6"/>
        <v>1</v>
      </c>
      <c r="Y24">
        <f t="shared" si="7"/>
        <v>5</v>
      </c>
      <c r="Z24">
        <f t="shared" si="8"/>
        <v>6</v>
      </c>
      <c r="AA24">
        <f t="shared" si="9"/>
        <v>4</v>
      </c>
      <c r="AB24">
        <f t="shared" si="10"/>
        <v>2</v>
      </c>
      <c r="AC24" s="9">
        <v>45682</v>
      </c>
      <c r="AD24" s="9">
        <v>45826</v>
      </c>
      <c r="AE24" t="s">
        <v>74</v>
      </c>
      <c r="AF24" t="s">
        <v>55</v>
      </c>
      <c r="AG24">
        <v>30500</v>
      </c>
      <c r="AH24">
        <v>11</v>
      </c>
      <c r="AI24" s="9">
        <v>45713</v>
      </c>
      <c r="AJ24" t="s">
        <v>46</v>
      </c>
    </row>
    <row r="25" spans="1:36" ht="14.25" customHeight="1">
      <c r="A25" t="str">
        <f t="shared" si="0"/>
        <v>CUST11024</v>
      </c>
      <c r="B25" t="s">
        <v>141</v>
      </c>
      <c r="C25">
        <v>7330379168</v>
      </c>
      <c r="D25" t="s">
        <v>142</v>
      </c>
      <c r="E25" t="s">
        <v>143</v>
      </c>
      <c r="F25">
        <v>39</v>
      </c>
      <c r="G25" s="6" t="s">
        <v>39</v>
      </c>
      <c r="H25" s="6" t="s">
        <v>61</v>
      </c>
      <c r="I25" s="6" t="s">
        <v>90</v>
      </c>
      <c r="J25" s="6" t="s">
        <v>83</v>
      </c>
      <c r="K25" s="7">
        <v>30</v>
      </c>
      <c r="L25">
        <v>2</v>
      </c>
      <c r="M25">
        <v>1921.15</v>
      </c>
      <c r="N25" s="6" t="s">
        <v>73</v>
      </c>
      <c r="O25">
        <v>19</v>
      </c>
      <c r="P25">
        <v>36314.78</v>
      </c>
      <c r="Q25">
        <v>5</v>
      </c>
      <c r="R25">
        <v>370</v>
      </c>
      <c r="S25">
        <f t="shared" si="1"/>
        <v>1911.3042105263157</v>
      </c>
      <c r="T25" s="6" t="str">
        <f t="shared" si="2"/>
        <v>Frequent Buyer</v>
      </c>
      <c r="U25" s="6" t="str">
        <f t="shared" si="3"/>
        <v>SILVER</v>
      </c>
      <c r="V25">
        <f t="shared" si="4"/>
        <v>0</v>
      </c>
      <c r="W25" s="8">
        <f t="shared" si="5"/>
        <v>2</v>
      </c>
      <c r="X25">
        <f t="shared" si="6"/>
        <v>1</v>
      </c>
      <c r="Y25">
        <f t="shared" si="7"/>
        <v>2</v>
      </c>
      <c r="Z25">
        <f t="shared" si="8"/>
        <v>2</v>
      </c>
      <c r="AA25">
        <f t="shared" si="9"/>
        <v>4</v>
      </c>
      <c r="AB25">
        <f t="shared" si="10"/>
        <v>3</v>
      </c>
      <c r="AC25" s="9">
        <v>45645</v>
      </c>
      <c r="AD25" s="9">
        <v>45813</v>
      </c>
      <c r="AE25" t="s">
        <v>54</v>
      </c>
      <c r="AF25" t="s">
        <v>45</v>
      </c>
      <c r="AG25">
        <v>18750</v>
      </c>
      <c r="AH25">
        <v>6</v>
      </c>
      <c r="AI25" s="9">
        <v>45687</v>
      </c>
      <c r="AJ25" t="s">
        <v>75</v>
      </c>
    </row>
    <row r="26" spans="1:36" ht="14.25" customHeight="1">
      <c r="A26" t="str">
        <f t="shared" si="0"/>
        <v>CUST11025</v>
      </c>
      <c r="B26" t="s">
        <v>144</v>
      </c>
      <c r="C26">
        <v>7428024042</v>
      </c>
      <c r="D26" t="s">
        <v>145</v>
      </c>
      <c r="E26" t="s">
        <v>146</v>
      </c>
      <c r="F26">
        <v>30</v>
      </c>
      <c r="G26" s="6" t="s">
        <v>39</v>
      </c>
      <c r="H26" s="6" t="s">
        <v>50</v>
      </c>
      <c r="I26" s="6" t="s">
        <v>62</v>
      </c>
      <c r="J26" s="6" t="s">
        <v>52</v>
      </c>
      <c r="K26" s="7">
        <v>8</v>
      </c>
      <c r="L26">
        <v>6</v>
      </c>
      <c r="M26">
        <v>3599.38</v>
      </c>
      <c r="N26" s="6" t="s">
        <v>73</v>
      </c>
      <c r="O26">
        <v>1</v>
      </c>
      <c r="P26">
        <v>21403.68</v>
      </c>
      <c r="Q26">
        <v>10</v>
      </c>
      <c r="R26">
        <v>223</v>
      </c>
      <c r="S26">
        <f t="shared" si="1"/>
        <v>21403.68</v>
      </c>
      <c r="T26" s="6" t="str">
        <f t="shared" si="2"/>
        <v>Single Purchase</v>
      </c>
      <c r="U26" s="6" t="str">
        <f t="shared" si="3"/>
        <v>BRONZE</v>
      </c>
      <c r="V26">
        <f t="shared" si="4"/>
        <v>0</v>
      </c>
      <c r="W26" s="8">
        <f t="shared" si="5"/>
        <v>3</v>
      </c>
      <c r="X26">
        <f t="shared" si="6"/>
        <v>3</v>
      </c>
      <c r="Y26">
        <f t="shared" si="7"/>
        <v>5</v>
      </c>
      <c r="Z26">
        <f t="shared" si="8"/>
        <v>4</v>
      </c>
      <c r="AA26">
        <f t="shared" si="9"/>
        <v>4</v>
      </c>
      <c r="AB26">
        <f t="shared" si="10"/>
        <v>2</v>
      </c>
      <c r="AC26" s="9">
        <v>45606</v>
      </c>
      <c r="AD26" s="9">
        <v>45802</v>
      </c>
      <c r="AE26" t="s">
        <v>44</v>
      </c>
      <c r="AF26" t="s">
        <v>66</v>
      </c>
      <c r="AG26">
        <v>47200</v>
      </c>
      <c r="AH26">
        <v>1</v>
      </c>
      <c r="AI26" s="9">
        <v>45641</v>
      </c>
      <c r="AJ26" t="s">
        <v>56</v>
      </c>
    </row>
    <row r="27" spans="1:36" ht="14.25" customHeight="1">
      <c r="A27" t="str">
        <f t="shared" si="0"/>
        <v>CUST11026</v>
      </c>
      <c r="B27" t="s">
        <v>147</v>
      </c>
      <c r="C27">
        <v>7090106304</v>
      </c>
      <c r="D27" t="s">
        <v>148</v>
      </c>
      <c r="E27" t="s">
        <v>149</v>
      </c>
      <c r="F27">
        <v>54</v>
      </c>
      <c r="G27" s="6" t="s">
        <v>39</v>
      </c>
      <c r="H27" s="6" t="s">
        <v>71</v>
      </c>
      <c r="I27" s="6" t="s">
        <v>41</v>
      </c>
      <c r="J27" s="6" t="s">
        <v>63</v>
      </c>
      <c r="K27" s="7">
        <v>1</v>
      </c>
      <c r="L27">
        <v>16</v>
      </c>
      <c r="M27">
        <v>1888.91</v>
      </c>
      <c r="N27" s="6" t="s">
        <v>125</v>
      </c>
      <c r="O27">
        <v>13</v>
      </c>
      <c r="P27">
        <v>22931.41</v>
      </c>
      <c r="Q27">
        <v>12</v>
      </c>
      <c r="R27">
        <v>1934</v>
      </c>
      <c r="S27">
        <f t="shared" si="1"/>
        <v>1763.9546153846154</v>
      </c>
      <c r="T27" s="6" t="str">
        <f t="shared" si="2"/>
        <v>Frequent Buyer</v>
      </c>
      <c r="U27" s="6" t="str">
        <f t="shared" si="3"/>
        <v>BRONZE</v>
      </c>
      <c r="V27">
        <f t="shared" si="4"/>
        <v>0</v>
      </c>
      <c r="W27" s="8">
        <f t="shared" si="5"/>
        <v>3</v>
      </c>
      <c r="X27">
        <f t="shared" si="6"/>
        <v>1</v>
      </c>
      <c r="Y27">
        <f t="shared" si="7"/>
        <v>1</v>
      </c>
      <c r="Z27">
        <f t="shared" si="8"/>
        <v>5</v>
      </c>
      <c r="AA27">
        <f t="shared" si="9"/>
        <v>0</v>
      </c>
      <c r="AB27">
        <f t="shared" si="10"/>
        <v>1</v>
      </c>
      <c r="AC27" s="9">
        <v>45570</v>
      </c>
      <c r="AD27" s="9">
        <v>45787</v>
      </c>
      <c r="AE27" t="s">
        <v>65</v>
      </c>
      <c r="AF27" t="s">
        <v>45</v>
      </c>
      <c r="AG27">
        <v>29400</v>
      </c>
      <c r="AH27">
        <v>4</v>
      </c>
      <c r="AI27" s="9">
        <v>45618</v>
      </c>
      <c r="AJ27" t="s">
        <v>46</v>
      </c>
    </row>
    <row r="28" spans="1:36" ht="14.25" customHeight="1">
      <c r="A28" t="str">
        <f t="shared" si="0"/>
        <v>CUST11027</v>
      </c>
      <c r="B28" t="s">
        <v>150</v>
      </c>
      <c r="C28">
        <v>7105204800</v>
      </c>
      <c r="D28" t="s">
        <v>151</v>
      </c>
      <c r="E28" t="s">
        <v>152</v>
      </c>
      <c r="F28">
        <v>27</v>
      </c>
      <c r="G28" s="6" t="s">
        <v>39</v>
      </c>
      <c r="H28" s="6" t="s">
        <v>50</v>
      </c>
      <c r="I28" s="6" t="s">
        <v>90</v>
      </c>
      <c r="J28" s="6" t="s">
        <v>83</v>
      </c>
      <c r="K28" s="7">
        <v>0</v>
      </c>
      <c r="L28">
        <v>18</v>
      </c>
      <c r="M28">
        <v>928.55</v>
      </c>
      <c r="N28" s="6" t="s">
        <v>43</v>
      </c>
      <c r="O28">
        <v>3</v>
      </c>
      <c r="P28">
        <v>35403.17</v>
      </c>
      <c r="Q28">
        <v>10</v>
      </c>
      <c r="R28">
        <v>2</v>
      </c>
      <c r="S28">
        <f t="shared" si="1"/>
        <v>11801.056666666665</v>
      </c>
      <c r="T28" s="6" t="str">
        <f t="shared" si="2"/>
        <v>Few Purchases</v>
      </c>
      <c r="U28" s="6" t="str">
        <f t="shared" si="3"/>
        <v>SILVER</v>
      </c>
      <c r="V28">
        <f t="shared" si="4"/>
        <v>0</v>
      </c>
      <c r="W28" s="8">
        <f t="shared" si="5"/>
        <v>2</v>
      </c>
      <c r="X28">
        <f t="shared" si="6"/>
        <v>2</v>
      </c>
      <c r="Y28">
        <f t="shared" si="7"/>
        <v>5</v>
      </c>
      <c r="Z28">
        <f t="shared" si="8"/>
        <v>2</v>
      </c>
      <c r="AA28">
        <f t="shared" si="9"/>
        <v>1</v>
      </c>
      <c r="AB28">
        <f t="shared" si="10"/>
        <v>3</v>
      </c>
      <c r="AC28" s="9">
        <v>45553</v>
      </c>
      <c r="AD28" s="9">
        <v>45776</v>
      </c>
      <c r="AE28" t="s">
        <v>74</v>
      </c>
      <c r="AF28" t="s">
        <v>55</v>
      </c>
      <c r="AG28">
        <v>36250</v>
      </c>
      <c r="AH28">
        <v>8</v>
      </c>
      <c r="AI28" s="9">
        <v>45570</v>
      </c>
      <c r="AJ28" t="s">
        <v>67</v>
      </c>
    </row>
    <row r="29" spans="1:36" ht="14.25" customHeight="1">
      <c r="A29" t="str">
        <f t="shared" si="0"/>
        <v>CUST11028</v>
      </c>
      <c r="B29" t="s">
        <v>153</v>
      </c>
      <c r="C29">
        <v>7729107717</v>
      </c>
      <c r="D29" t="s">
        <v>154</v>
      </c>
      <c r="E29" t="s">
        <v>155</v>
      </c>
      <c r="F29">
        <v>46</v>
      </c>
      <c r="G29" s="6" t="s">
        <v>60</v>
      </c>
      <c r="H29" s="6" t="s">
        <v>61</v>
      </c>
      <c r="I29" s="6" t="s">
        <v>62</v>
      </c>
      <c r="J29" s="6" t="s">
        <v>83</v>
      </c>
      <c r="K29" s="7">
        <v>3</v>
      </c>
      <c r="L29">
        <v>3</v>
      </c>
      <c r="M29">
        <v>4093.35</v>
      </c>
      <c r="N29" s="6" t="s">
        <v>43</v>
      </c>
      <c r="O29">
        <v>14</v>
      </c>
      <c r="P29">
        <v>49901.8</v>
      </c>
      <c r="Q29">
        <v>7</v>
      </c>
      <c r="R29">
        <v>209</v>
      </c>
      <c r="S29">
        <f t="shared" si="1"/>
        <v>3564.4142857142861</v>
      </c>
      <c r="T29" s="6" t="str">
        <f t="shared" si="2"/>
        <v>Frequent Buyer</v>
      </c>
      <c r="U29" s="6" t="str">
        <f t="shared" si="3"/>
        <v>SILVER</v>
      </c>
      <c r="V29">
        <f t="shared" si="4"/>
        <v>1</v>
      </c>
      <c r="W29" s="8">
        <f t="shared" si="5"/>
        <v>2</v>
      </c>
      <c r="X29">
        <f t="shared" si="6"/>
        <v>1</v>
      </c>
      <c r="Y29">
        <f t="shared" si="7"/>
        <v>2</v>
      </c>
      <c r="Z29">
        <f t="shared" si="8"/>
        <v>4</v>
      </c>
      <c r="AA29">
        <f t="shared" si="9"/>
        <v>1</v>
      </c>
      <c r="AB29">
        <f t="shared" si="10"/>
        <v>3</v>
      </c>
      <c r="AC29" s="9">
        <v>45526</v>
      </c>
      <c r="AD29" s="9">
        <v>45759</v>
      </c>
      <c r="AE29" t="s">
        <v>54</v>
      </c>
      <c r="AF29" t="s">
        <v>45</v>
      </c>
      <c r="AG29">
        <v>41000</v>
      </c>
      <c r="AH29">
        <v>10</v>
      </c>
      <c r="AI29" s="9">
        <v>45553</v>
      </c>
      <c r="AJ29" t="s">
        <v>75</v>
      </c>
    </row>
    <row r="30" spans="1:36" ht="14.25" customHeight="1">
      <c r="A30" t="str">
        <f t="shared" si="0"/>
        <v>CUST11029</v>
      </c>
      <c r="B30" t="s">
        <v>156</v>
      </c>
      <c r="C30">
        <v>9760379325</v>
      </c>
      <c r="D30" t="s">
        <v>157</v>
      </c>
      <c r="E30" t="s">
        <v>158</v>
      </c>
      <c r="F30">
        <v>54</v>
      </c>
      <c r="G30" s="6" t="s">
        <v>39</v>
      </c>
      <c r="H30" s="6" t="s">
        <v>50</v>
      </c>
      <c r="I30" s="6" t="s">
        <v>72</v>
      </c>
      <c r="J30" s="6" t="s">
        <v>83</v>
      </c>
      <c r="K30" s="7">
        <v>19</v>
      </c>
      <c r="L30">
        <v>15</v>
      </c>
      <c r="M30">
        <v>4107.97</v>
      </c>
      <c r="N30" s="6" t="s">
        <v>43</v>
      </c>
      <c r="O30">
        <v>13</v>
      </c>
      <c r="P30">
        <v>40075.120000000003</v>
      </c>
      <c r="Q30">
        <v>18</v>
      </c>
      <c r="R30">
        <v>211</v>
      </c>
      <c r="S30">
        <f t="shared" si="1"/>
        <v>3082.7015384615388</v>
      </c>
      <c r="T30" s="6" t="str">
        <f t="shared" si="2"/>
        <v>Frequent Buyer</v>
      </c>
      <c r="U30" s="6" t="str">
        <f t="shared" si="3"/>
        <v>SILVER</v>
      </c>
      <c r="V30">
        <f t="shared" si="4"/>
        <v>0</v>
      </c>
      <c r="W30" s="8">
        <f t="shared" si="5"/>
        <v>2</v>
      </c>
      <c r="X30">
        <f t="shared" si="6"/>
        <v>1</v>
      </c>
      <c r="Y30">
        <f t="shared" si="7"/>
        <v>5</v>
      </c>
      <c r="Z30">
        <f t="shared" si="8"/>
        <v>6</v>
      </c>
      <c r="AA30">
        <f t="shared" si="9"/>
        <v>1</v>
      </c>
      <c r="AB30">
        <f t="shared" si="10"/>
        <v>3</v>
      </c>
      <c r="AC30" s="9">
        <v>45487</v>
      </c>
      <c r="AD30" s="9">
        <v>45744</v>
      </c>
      <c r="AE30" t="s">
        <v>44</v>
      </c>
      <c r="AF30" t="s">
        <v>66</v>
      </c>
      <c r="AG30">
        <v>22850</v>
      </c>
      <c r="AH30">
        <v>0</v>
      </c>
      <c r="AI30" s="9">
        <v>45505</v>
      </c>
      <c r="AJ30" t="s">
        <v>56</v>
      </c>
    </row>
    <row r="31" spans="1:36" ht="14.25" customHeight="1">
      <c r="A31" t="str">
        <f t="shared" si="0"/>
        <v>CUST11030</v>
      </c>
      <c r="B31" t="s">
        <v>159</v>
      </c>
      <c r="C31">
        <v>9941321039</v>
      </c>
      <c r="D31" t="s">
        <v>160</v>
      </c>
      <c r="E31" t="s">
        <v>161</v>
      </c>
      <c r="F31">
        <v>56</v>
      </c>
      <c r="G31" s="6" t="s">
        <v>39</v>
      </c>
      <c r="H31" s="6" t="s">
        <v>50</v>
      </c>
      <c r="I31" s="6" t="s">
        <v>90</v>
      </c>
      <c r="J31" s="6" t="s">
        <v>42</v>
      </c>
      <c r="K31" s="7">
        <v>14</v>
      </c>
      <c r="L31">
        <v>4</v>
      </c>
      <c r="M31">
        <v>4601.99</v>
      </c>
      <c r="N31" s="6" t="s">
        <v>73</v>
      </c>
      <c r="O31">
        <v>8</v>
      </c>
      <c r="P31">
        <v>17221.669999999998</v>
      </c>
      <c r="Q31">
        <v>1</v>
      </c>
      <c r="R31">
        <v>195</v>
      </c>
      <c r="S31">
        <f t="shared" si="1"/>
        <v>2152.7087499999998</v>
      </c>
      <c r="T31" s="6" t="str">
        <f t="shared" si="2"/>
        <v>Frequent Buyer</v>
      </c>
      <c r="U31" s="6" t="str">
        <f t="shared" si="3"/>
        <v>BRONZE</v>
      </c>
      <c r="V31">
        <f t="shared" si="4"/>
        <v>0</v>
      </c>
      <c r="W31" s="8">
        <f t="shared" si="5"/>
        <v>3</v>
      </c>
      <c r="X31">
        <f t="shared" si="6"/>
        <v>1</v>
      </c>
      <c r="Y31">
        <f t="shared" si="7"/>
        <v>5</v>
      </c>
      <c r="Z31">
        <f t="shared" si="8"/>
        <v>2</v>
      </c>
      <c r="AA31">
        <f t="shared" si="9"/>
        <v>4</v>
      </c>
      <c r="AB31">
        <f t="shared" si="10"/>
        <v>1</v>
      </c>
      <c r="AC31" s="9">
        <v>45445</v>
      </c>
      <c r="AD31" s="9">
        <v>45731</v>
      </c>
      <c r="AE31" t="s">
        <v>65</v>
      </c>
      <c r="AF31" t="s">
        <v>55</v>
      </c>
      <c r="AG31">
        <v>34000</v>
      </c>
      <c r="AH31">
        <v>13</v>
      </c>
      <c r="AI31" s="9">
        <v>45483</v>
      </c>
      <c r="AJ31" t="s">
        <v>46</v>
      </c>
    </row>
    <row r="32" spans="1:36" ht="14.25" customHeight="1">
      <c r="A32" t="str">
        <f t="shared" si="0"/>
        <v>CUST11031</v>
      </c>
      <c r="B32" t="s">
        <v>162</v>
      </c>
      <c r="C32">
        <v>8965135307</v>
      </c>
      <c r="D32" t="s">
        <v>163</v>
      </c>
      <c r="E32" t="s">
        <v>164</v>
      </c>
      <c r="F32">
        <v>42</v>
      </c>
      <c r="G32" s="6" t="s">
        <v>39</v>
      </c>
      <c r="H32" s="6" t="s">
        <v>61</v>
      </c>
      <c r="I32" s="6" t="s">
        <v>72</v>
      </c>
      <c r="J32" s="6" t="s">
        <v>111</v>
      </c>
      <c r="K32" s="7">
        <v>15</v>
      </c>
      <c r="L32">
        <v>22</v>
      </c>
      <c r="M32">
        <v>4190.3100000000004</v>
      </c>
      <c r="N32" s="6" t="s">
        <v>73</v>
      </c>
      <c r="O32">
        <v>18</v>
      </c>
      <c r="P32">
        <v>81325.759999999995</v>
      </c>
      <c r="Q32">
        <v>7</v>
      </c>
      <c r="R32">
        <v>1704</v>
      </c>
      <c r="S32">
        <f t="shared" si="1"/>
        <v>4518.0977777777771</v>
      </c>
      <c r="T32" s="6" t="str">
        <f t="shared" si="2"/>
        <v>Frequent Buyer</v>
      </c>
      <c r="U32" s="6" t="str">
        <f t="shared" si="3"/>
        <v>GOLD</v>
      </c>
      <c r="V32">
        <f t="shared" si="4"/>
        <v>0</v>
      </c>
      <c r="W32" s="8">
        <f t="shared" si="5"/>
        <v>1</v>
      </c>
      <c r="X32">
        <f t="shared" si="6"/>
        <v>1</v>
      </c>
      <c r="Y32">
        <f t="shared" si="7"/>
        <v>2</v>
      </c>
      <c r="Z32">
        <f t="shared" si="8"/>
        <v>6</v>
      </c>
      <c r="AA32">
        <f t="shared" si="9"/>
        <v>4</v>
      </c>
      <c r="AB32">
        <f t="shared" si="10"/>
        <v>4</v>
      </c>
      <c r="AC32" s="9">
        <v>45879</v>
      </c>
      <c r="AD32" s="9">
        <v>45901</v>
      </c>
      <c r="AE32" t="s">
        <v>44</v>
      </c>
      <c r="AF32" t="s">
        <v>45</v>
      </c>
      <c r="AG32">
        <v>15200</v>
      </c>
      <c r="AH32">
        <v>3</v>
      </c>
      <c r="AI32" s="9">
        <v>45894</v>
      </c>
      <c r="AJ32" t="s">
        <v>46</v>
      </c>
    </row>
    <row r="33" spans="1:36" ht="14.25" customHeight="1">
      <c r="A33" t="str">
        <f t="shared" si="0"/>
        <v>CUST11032</v>
      </c>
      <c r="B33" t="s">
        <v>165</v>
      </c>
      <c r="C33">
        <v>9851861730</v>
      </c>
      <c r="D33" t="s">
        <v>166</v>
      </c>
      <c r="E33" t="s">
        <v>167</v>
      </c>
      <c r="F33">
        <v>24</v>
      </c>
      <c r="G33" s="6" t="s">
        <v>39</v>
      </c>
      <c r="H33" s="6" t="s">
        <v>82</v>
      </c>
      <c r="I33" s="6" t="s">
        <v>51</v>
      </c>
      <c r="J33" s="6" t="s">
        <v>52</v>
      </c>
      <c r="K33" s="7">
        <v>1</v>
      </c>
      <c r="L33">
        <v>20</v>
      </c>
      <c r="M33">
        <v>4000.66</v>
      </c>
      <c r="N33" s="6" t="s">
        <v>43</v>
      </c>
      <c r="O33">
        <v>7</v>
      </c>
      <c r="P33">
        <v>17600.39</v>
      </c>
      <c r="Q33">
        <v>6</v>
      </c>
      <c r="R33">
        <v>72</v>
      </c>
      <c r="S33">
        <f t="shared" si="1"/>
        <v>2514.3414285714284</v>
      </c>
      <c r="T33" s="6" t="str">
        <f t="shared" si="2"/>
        <v>Frequent Buyer</v>
      </c>
      <c r="U33" s="6" t="str">
        <f t="shared" si="3"/>
        <v>BRONZE</v>
      </c>
      <c r="V33">
        <f t="shared" si="4"/>
        <v>0</v>
      </c>
      <c r="W33" s="8">
        <f t="shared" si="5"/>
        <v>3</v>
      </c>
      <c r="X33">
        <f t="shared" si="6"/>
        <v>1</v>
      </c>
      <c r="Y33">
        <f t="shared" si="7"/>
        <v>3</v>
      </c>
      <c r="Z33">
        <f t="shared" si="8"/>
        <v>3</v>
      </c>
      <c r="AA33">
        <f t="shared" si="9"/>
        <v>1</v>
      </c>
      <c r="AB33">
        <f t="shared" si="10"/>
        <v>2</v>
      </c>
      <c r="AC33" s="9">
        <v>45843</v>
      </c>
      <c r="AD33" s="9">
        <v>45896</v>
      </c>
      <c r="AE33" t="s">
        <v>54</v>
      </c>
      <c r="AF33" t="s">
        <v>55</v>
      </c>
      <c r="AG33">
        <v>24850</v>
      </c>
      <c r="AH33">
        <v>7</v>
      </c>
      <c r="AI33" s="9">
        <v>45868</v>
      </c>
      <c r="AJ33" t="s">
        <v>56</v>
      </c>
    </row>
    <row r="34" spans="1:36" ht="14.25" customHeight="1">
      <c r="A34" t="str">
        <f t="shared" si="0"/>
        <v>CUST11033</v>
      </c>
      <c r="B34" t="s">
        <v>168</v>
      </c>
      <c r="C34">
        <v>8760760020</v>
      </c>
      <c r="D34" t="s">
        <v>169</v>
      </c>
      <c r="E34" t="s">
        <v>170</v>
      </c>
      <c r="F34">
        <v>27</v>
      </c>
      <c r="G34" s="6" t="s">
        <v>39</v>
      </c>
      <c r="H34" s="6" t="s">
        <v>50</v>
      </c>
      <c r="I34" s="6" t="s">
        <v>72</v>
      </c>
      <c r="J34" s="6" t="s">
        <v>83</v>
      </c>
      <c r="K34" s="7">
        <v>2</v>
      </c>
      <c r="L34">
        <v>23</v>
      </c>
      <c r="M34">
        <v>1817.73</v>
      </c>
      <c r="N34" s="6" t="s">
        <v>73</v>
      </c>
      <c r="O34">
        <v>4</v>
      </c>
      <c r="P34">
        <v>69182.039999999994</v>
      </c>
      <c r="Q34">
        <v>6</v>
      </c>
      <c r="R34">
        <v>1706</v>
      </c>
      <c r="S34">
        <f t="shared" si="1"/>
        <v>17295.509999999998</v>
      </c>
      <c r="T34" s="6" t="str">
        <f t="shared" si="2"/>
        <v>Few Purchases</v>
      </c>
      <c r="U34" s="6" t="str">
        <f t="shared" si="3"/>
        <v>GOLD</v>
      </c>
      <c r="V34">
        <f t="shared" si="4"/>
        <v>0</v>
      </c>
      <c r="W34" s="8">
        <f t="shared" si="5"/>
        <v>1</v>
      </c>
      <c r="X34">
        <f t="shared" si="6"/>
        <v>2</v>
      </c>
      <c r="Y34">
        <f t="shared" si="7"/>
        <v>5</v>
      </c>
      <c r="Z34">
        <f t="shared" si="8"/>
        <v>6</v>
      </c>
      <c r="AA34">
        <f t="shared" si="9"/>
        <v>4</v>
      </c>
      <c r="AB34">
        <f t="shared" si="10"/>
        <v>3</v>
      </c>
      <c r="AC34" s="9">
        <v>45823</v>
      </c>
      <c r="AD34" s="9">
        <v>45889</v>
      </c>
      <c r="AE34" t="s">
        <v>65</v>
      </c>
      <c r="AF34" t="s">
        <v>66</v>
      </c>
      <c r="AG34">
        <v>33100</v>
      </c>
      <c r="AH34">
        <v>12</v>
      </c>
      <c r="AI34" s="9">
        <v>45848</v>
      </c>
      <c r="AJ34" t="s">
        <v>67</v>
      </c>
    </row>
    <row r="35" spans="1:36" ht="14.25" customHeight="1">
      <c r="A35" t="str">
        <f t="shared" si="0"/>
        <v>CUST11034</v>
      </c>
      <c r="B35" t="s">
        <v>171</v>
      </c>
      <c r="C35">
        <v>8225675049</v>
      </c>
      <c r="D35" t="s">
        <v>172</v>
      </c>
      <c r="E35" t="s">
        <v>173</v>
      </c>
      <c r="F35">
        <v>24</v>
      </c>
      <c r="G35" s="6" t="s">
        <v>39</v>
      </c>
      <c r="H35" s="6" t="s">
        <v>50</v>
      </c>
      <c r="I35" s="6" t="s">
        <v>72</v>
      </c>
      <c r="J35" s="6" t="s">
        <v>83</v>
      </c>
      <c r="K35" s="7">
        <v>14</v>
      </c>
      <c r="L35">
        <v>13</v>
      </c>
      <c r="M35">
        <v>1171.3800000000001</v>
      </c>
      <c r="N35" s="6" t="s">
        <v>73</v>
      </c>
      <c r="O35">
        <v>11</v>
      </c>
      <c r="P35">
        <v>28001.4</v>
      </c>
      <c r="Q35">
        <v>17</v>
      </c>
      <c r="R35">
        <v>253</v>
      </c>
      <c r="S35">
        <f t="shared" si="1"/>
        <v>2545.5818181818181</v>
      </c>
      <c r="T35" s="6" t="str">
        <f t="shared" si="2"/>
        <v>Frequent Buyer</v>
      </c>
      <c r="U35" s="6" t="str">
        <f t="shared" si="3"/>
        <v>SILVER</v>
      </c>
      <c r="V35">
        <f t="shared" si="4"/>
        <v>0</v>
      </c>
      <c r="W35" s="8">
        <f t="shared" si="5"/>
        <v>2</v>
      </c>
      <c r="X35">
        <f t="shared" si="6"/>
        <v>1</v>
      </c>
      <c r="Y35">
        <f t="shared" si="7"/>
        <v>5</v>
      </c>
      <c r="Z35">
        <f t="shared" si="8"/>
        <v>6</v>
      </c>
      <c r="AA35">
        <f t="shared" si="9"/>
        <v>4</v>
      </c>
      <c r="AB35">
        <f t="shared" si="10"/>
        <v>3</v>
      </c>
      <c r="AC35" s="9">
        <v>45805</v>
      </c>
      <c r="AD35" s="9">
        <v>45879</v>
      </c>
      <c r="AE35" t="s">
        <v>74</v>
      </c>
      <c r="AF35" t="s">
        <v>45</v>
      </c>
      <c r="AG35">
        <v>45900</v>
      </c>
      <c r="AH35">
        <v>0</v>
      </c>
      <c r="AI35" s="9">
        <v>45830</v>
      </c>
      <c r="AJ35" t="s">
        <v>75</v>
      </c>
    </row>
    <row r="36" spans="1:36" ht="14.25" customHeight="1">
      <c r="A36" t="str">
        <f t="shared" si="0"/>
        <v>CUST11035</v>
      </c>
      <c r="B36" t="s">
        <v>174</v>
      </c>
      <c r="C36">
        <v>8619321847</v>
      </c>
      <c r="D36" t="s">
        <v>175</v>
      </c>
      <c r="E36" t="s">
        <v>176</v>
      </c>
      <c r="F36">
        <v>56</v>
      </c>
      <c r="G36" s="6" t="s">
        <v>39</v>
      </c>
      <c r="H36" s="6" t="s">
        <v>50</v>
      </c>
      <c r="I36" s="6" t="s">
        <v>72</v>
      </c>
      <c r="J36" s="6" t="s">
        <v>42</v>
      </c>
      <c r="K36" s="7">
        <v>24</v>
      </c>
      <c r="L36">
        <v>3</v>
      </c>
      <c r="M36">
        <v>3959.9</v>
      </c>
      <c r="N36" s="6" t="s">
        <v>43</v>
      </c>
      <c r="O36">
        <v>10</v>
      </c>
      <c r="P36">
        <v>64707.94</v>
      </c>
      <c r="Q36">
        <v>19</v>
      </c>
      <c r="R36">
        <v>889</v>
      </c>
      <c r="S36">
        <f t="shared" si="1"/>
        <v>6470.7939999999999</v>
      </c>
      <c r="T36" s="6" t="str">
        <f t="shared" si="2"/>
        <v>Frequent Buyer</v>
      </c>
      <c r="U36" s="6" t="str">
        <f t="shared" si="3"/>
        <v>GOLD</v>
      </c>
      <c r="V36">
        <f t="shared" si="4"/>
        <v>0</v>
      </c>
      <c r="W36" s="8">
        <f t="shared" si="5"/>
        <v>1</v>
      </c>
      <c r="X36">
        <f t="shared" si="6"/>
        <v>1</v>
      </c>
      <c r="Y36">
        <f t="shared" si="7"/>
        <v>5</v>
      </c>
      <c r="Z36">
        <f t="shared" si="8"/>
        <v>6</v>
      </c>
      <c r="AA36">
        <f t="shared" si="9"/>
        <v>1</v>
      </c>
      <c r="AB36">
        <f t="shared" si="10"/>
        <v>1</v>
      </c>
      <c r="AC36" s="9">
        <v>45759</v>
      </c>
      <c r="AD36" s="9">
        <v>45868</v>
      </c>
      <c r="AE36" t="s">
        <v>44</v>
      </c>
      <c r="AF36" t="s">
        <v>55</v>
      </c>
      <c r="AG36">
        <v>12500</v>
      </c>
      <c r="AH36">
        <v>5</v>
      </c>
      <c r="AI36" s="9">
        <v>45782</v>
      </c>
      <c r="AJ36" t="s">
        <v>46</v>
      </c>
    </row>
    <row r="37" spans="1:36" ht="14.25" customHeight="1">
      <c r="A37" t="str">
        <f t="shared" si="0"/>
        <v>CUST11036</v>
      </c>
      <c r="B37" t="s">
        <v>177</v>
      </c>
      <c r="C37">
        <v>9917130605</v>
      </c>
      <c r="D37" t="s">
        <v>178</v>
      </c>
      <c r="E37" t="s">
        <v>179</v>
      </c>
      <c r="F37">
        <v>30</v>
      </c>
      <c r="G37" s="6" t="s">
        <v>60</v>
      </c>
      <c r="H37" s="6" t="s">
        <v>82</v>
      </c>
      <c r="I37" s="6" t="s">
        <v>72</v>
      </c>
      <c r="J37" s="6" t="s">
        <v>83</v>
      </c>
      <c r="K37" s="7">
        <v>1</v>
      </c>
      <c r="L37">
        <v>17</v>
      </c>
      <c r="M37">
        <v>3570.18</v>
      </c>
      <c r="N37" s="6" t="s">
        <v>43</v>
      </c>
      <c r="O37">
        <v>11</v>
      </c>
      <c r="P37">
        <v>41803.46</v>
      </c>
      <c r="Q37">
        <v>9</v>
      </c>
      <c r="R37">
        <v>1474</v>
      </c>
      <c r="S37">
        <f t="shared" si="1"/>
        <v>3800.3145454545452</v>
      </c>
      <c r="T37" s="6" t="str">
        <f t="shared" si="2"/>
        <v>Frequent Buyer</v>
      </c>
      <c r="U37" s="6" t="str">
        <f t="shared" si="3"/>
        <v>SILVER</v>
      </c>
      <c r="V37">
        <f t="shared" si="4"/>
        <v>1</v>
      </c>
      <c r="W37" s="8">
        <f t="shared" si="5"/>
        <v>2</v>
      </c>
      <c r="X37">
        <f t="shared" si="6"/>
        <v>1</v>
      </c>
      <c r="Y37">
        <f t="shared" si="7"/>
        <v>3</v>
      </c>
      <c r="Z37">
        <f t="shared" si="8"/>
        <v>6</v>
      </c>
      <c r="AA37">
        <f t="shared" si="9"/>
        <v>1</v>
      </c>
      <c r="AB37">
        <f t="shared" si="10"/>
        <v>3</v>
      </c>
      <c r="AC37" s="9">
        <v>45746</v>
      </c>
      <c r="AD37" s="9">
        <v>45853</v>
      </c>
      <c r="AE37" t="s">
        <v>54</v>
      </c>
      <c r="AF37" t="s">
        <v>66</v>
      </c>
      <c r="AG37">
        <v>39950</v>
      </c>
      <c r="AH37">
        <v>9</v>
      </c>
      <c r="AI37" s="9">
        <v>45765</v>
      </c>
      <c r="AJ37" t="s">
        <v>56</v>
      </c>
    </row>
    <row r="38" spans="1:36" ht="14.25" customHeight="1">
      <c r="A38" t="str">
        <f t="shared" si="0"/>
        <v>CUST11037</v>
      </c>
      <c r="B38" t="s">
        <v>180</v>
      </c>
      <c r="C38">
        <v>8935572060</v>
      </c>
      <c r="D38" t="s">
        <v>181</v>
      </c>
      <c r="E38" t="s">
        <v>182</v>
      </c>
      <c r="F38">
        <v>46</v>
      </c>
      <c r="G38" s="6" t="s">
        <v>39</v>
      </c>
      <c r="H38" s="6" t="s">
        <v>61</v>
      </c>
      <c r="I38" s="6" t="s">
        <v>94</v>
      </c>
      <c r="J38" s="6" t="s">
        <v>83</v>
      </c>
      <c r="K38" s="7">
        <v>1</v>
      </c>
      <c r="L38">
        <v>16</v>
      </c>
      <c r="M38">
        <v>4552.1000000000004</v>
      </c>
      <c r="N38" s="6" t="s">
        <v>43</v>
      </c>
      <c r="O38">
        <v>11</v>
      </c>
      <c r="P38">
        <v>30210.09</v>
      </c>
      <c r="Q38">
        <v>6</v>
      </c>
      <c r="R38">
        <v>1915</v>
      </c>
      <c r="S38">
        <f t="shared" si="1"/>
        <v>2746.3718181818181</v>
      </c>
      <c r="T38" s="6" t="str">
        <f t="shared" si="2"/>
        <v>Frequent Buyer</v>
      </c>
      <c r="U38" s="6" t="str">
        <f t="shared" si="3"/>
        <v>SILVER</v>
      </c>
      <c r="V38">
        <f t="shared" si="4"/>
        <v>0</v>
      </c>
      <c r="W38" s="8">
        <f t="shared" si="5"/>
        <v>2</v>
      </c>
      <c r="X38">
        <f t="shared" si="6"/>
        <v>1</v>
      </c>
      <c r="Y38">
        <f t="shared" si="7"/>
        <v>2</v>
      </c>
      <c r="Z38">
        <f t="shared" si="8"/>
        <v>1</v>
      </c>
      <c r="AA38">
        <f t="shared" si="9"/>
        <v>1</v>
      </c>
      <c r="AB38">
        <f t="shared" si="10"/>
        <v>3</v>
      </c>
      <c r="AC38" s="9">
        <v>45702</v>
      </c>
      <c r="AD38" s="9">
        <v>45839</v>
      </c>
      <c r="AE38" t="s">
        <v>65</v>
      </c>
      <c r="AF38" t="s">
        <v>45</v>
      </c>
      <c r="AG38">
        <v>21200</v>
      </c>
      <c r="AH38">
        <v>2</v>
      </c>
      <c r="AI38" s="9">
        <v>45728</v>
      </c>
      <c r="AJ38" t="s">
        <v>67</v>
      </c>
    </row>
    <row r="39" spans="1:36" ht="14.25" customHeight="1">
      <c r="A39" t="str">
        <f t="shared" si="0"/>
        <v>CUST11038</v>
      </c>
      <c r="B39" t="s">
        <v>183</v>
      </c>
      <c r="C39">
        <v>8098839875</v>
      </c>
      <c r="D39" t="s">
        <v>184</v>
      </c>
      <c r="E39" t="s">
        <v>185</v>
      </c>
      <c r="F39">
        <v>37</v>
      </c>
      <c r="G39" s="6" t="s">
        <v>39</v>
      </c>
      <c r="H39" s="6" t="s">
        <v>50</v>
      </c>
      <c r="I39" s="6" t="s">
        <v>41</v>
      </c>
      <c r="J39" s="6" t="s">
        <v>42</v>
      </c>
      <c r="K39" s="7">
        <v>18</v>
      </c>
      <c r="L39">
        <v>22</v>
      </c>
      <c r="M39">
        <v>468.65</v>
      </c>
      <c r="N39" s="6" t="s">
        <v>53</v>
      </c>
      <c r="O39">
        <v>4</v>
      </c>
      <c r="P39">
        <v>8837.2000000000007</v>
      </c>
      <c r="Q39">
        <v>20</v>
      </c>
      <c r="R39">
        <v>781</v>
      </c>
      <c r="S39">
        <f t="shared" si="1"/>
        <v>2209.3000000000002</v>
      </c>
      <c r="T39" s="6" t="str">
        <f t="shared" si="2"/>
        <v>Few Purchases</v>
      </c>
      <c r="U39" s="6" t="str">
        <f t="shared" si="3"/>
        <v>BRONZE</v>
      </c>
      <c r="V39">
        <f t="shared" si="4"/>
        <v>0</v>
      </c>
      <c r="W39" s="8">
        <f t="shared" si="5"/>
        <v>3</v>
      </c>
      <c r="X39">
        <f t="shared" si="6"/>
        <v>2</v>
      </c>
      <c r="Y39">
        <f t="shared" si="7"/>
        <v>5</v>
      </c>
      <c r="Z39">
        <f t="shared" si="8"/>
        <v>5</v>
      </c>
      <c r="AA39">
        <f t="shared" si="9"/>
        <v>2</v>
      </c>
      <c r="AB39">
        <f t="shared" si="10"/>
        <v>1</v>
      </c>
      <c r="AC39" s="9">
        <v>45682</v>
      </c>
      <c r="AD39" s="9">
        <v>45826</v>
      </c>
      <c r="AE39" t="s">
        <v>74</v>
      </c>
      <c r="AF39" t="s">
        <v>55</v>
      </c>
      <c r="AG39">
        <v>30500</v>
      </c>
      <c r="AH39">
        <v>11</v>
      </c>
      <c r="AI39" s="9">
        <v>45713</v>
      </c>
      <c r="AJ39" t="s">
        <v>46</v>
      </c>
    </row>
    <row r="40" spans="1:36" ht="14.25" customHeight="1">
      <c r="A40" t="str">
        <f t="shared" si="0"/>
        <v>CUST11039</v>
      </c>
      <c r="B40" t="s">
        <v>186</v>
      </c>
      <c r="C40">
        <v>9708960738</v>
      </c>
      <c r="D40" t="s">
        <v>187</v>
      </c>
      <c r="E40" t="s">
        <v>188</v>
      </c>
      <c r="F40">
        <v>20</v>
      </c>
      <c r="G40" s="6" t="s">
        <v>39</v>
      </c>
      <c r="H40" s="6" t="s">
        <v>61</v>
      </c>
      <c r="I40" s="6" t="s">
        <v>72</v>
      </c>
      <c r="J40" s="6" t="s">
        <v>42</v>
      </c>
      <c r="K40" s="7">
        <v>17</v>
      </c>
      <c r="L40">
        <v>18</v>
      </c>
      <c r="M40">
        <v>3664.5</v>
      </c>
      <c r="N40" s="6" t="s">
        <v>43</v>
      </c>
      <c r="O40">
        <v>20</v>
      </c>
      <c r="P40">
        <v>77588.289999999994</v>
      </c>
      <c r="Q40">
        <v>19</v>
      </c>
      <c r="R40">
        <v>868</v>
      </c>
      <c r="S40">
        <f t="shared" si="1"/>
        <v>3879.4144999999999</v>
      </c>
      <c r="T40" s="6" t="str">
        <f t="shared" si="2"/>
        <v>Frequent Buyer</v>
      </c>
      <c r="U40" s="6" t="str">
        <f t="shared" si="3"/>
        <v>GOLD</v>
      </c>
      <c r="V40">
        <f t="shared" si="4"/>
        <v>0</v>
      </c>
      <c r="W40" s="8">
        <f t="shared" si="5"/>
        <v>1</v>
      </c>
      <c r="X40">
        <f t="shared" si="6"/>
        <v>1</v>
      </c>
      <c r="Y40">
        <f t="shared" si="7"/>
        <v>2</v>
      </c>
      <c r="Z40">
        <f t="shared" si="8"/>
        <v>6</v>
      </c>
      <c r="AA40">
        <f t="shared" si="9"/>
        <v>1</v>
      </c>
      <c r="AB40">
        <f t="shared" si="10"/>
        <v>1</v>
      </c>
      <c r="AC40" s="9">
        <v>45645</v>
      </c>
      <c r="AD40" s="9">
        <v>45813</v>
      </c>
      <c r="AE40" t="s">
        <v>54</v>
      </c>
      <c r="AF40" t="s">
        <v>45</v>
      </c>
      <c r="AG40">
        <v>18750</v>
      </c>
      <c r="AH40">
        <v>6</v>
      </c>
      <c r="AI40" s="9">
        <v>45687</v>
      </c>
      <c r="AJ40" t="s">
        <v>75</v>
      </c>
    </row>
    <row r="41" spans="1:36" ht="14.25" customHeight="1">
      <c r="A41" t="str">
        <f t="shared" si="0"/>
        <v>CUST11040</v>
      </c>
      <c r="B41" t="s">
        <v>189</v>
      </c>
      <c r="C41">
        <v>7514440432</v>
      </c>
      <c r="D41" t="s">
        <v>190</v>
      </c>
      <c r="E41" t="s">
        <v>191</v>
      </c>
      <c r="F41">
        <v>57</v>
      </c>
      <c r="G41" s="6" t="s">
        <v>39</v>
      </c>
      <c r="H41" s="6" t="s">
        <v>71</v>
      </c>
      <c r="I41" s="6" t="s">
        <v>72</v>
      </c>
      <c r="J41" s="6" t="s">
        <v>83</v>
      </c>
      <c r="K41" s="7">
        <v>28</v>
      </c>
      <c r="L41">
        <v>20</v>
      </c>
      <c r="M41">
        <v>4093.87</v>
      </c>
      <c r="N41" s="6" t="s">
        <v>53</v>
      </c>
      <c r="O41">
        <v>2</v>
      </c>
      <c r="P41">
        <v>49195.88</v>
      </c>
      <c r="Q41">
        <v>7</v>
      </c>
      <c r="R41">
        <v>1955</v>
      </c>
      <c r="S41">
        <f t="shared" si="1"/>
        <v>24597.94</v>
      </c>
      <c r="T41" s="6" t="str">
        <f t="shared" si="2"/>
        <v>Few Purchases</v>
      </c>
      <c r="U41" s="6" t="str">
        <f t="shared" si="3"/>
        <v>SILVER</v>
      </c>
      <c r="V41">
        <f t="shared" si="4"/>
        <v>0</v>
      </c>
      <c r="W41" s="8">
        <f t="shared" si="5"/>
        <v>2</v>
      </c>
      <c r="X41">
        <f t="shared" si="6"/>
        <v>2</v>
      </c>
      <c r="Y41">
        <f t="shared" si="7"/>
        <v>1</v>
      </c>
      <c r="Z41">
        <f t="shared" si="8"/>
        <v>6</v>
      </c>
      <c r="AA41">
        <f t="shared" si="9"/>
        <v>2</v>
      </c>
      <c r="AB41">
        <f t="shared" si="10"/>
        <v>3</v>
      </c>
      <c r="AC41" s="9">
        <v>45606</v>
      </c>
      <c r="AD41" s="9">
        <v>45802</v>
      </c>
      <c r="AE41" t="s">
        <v>44</v>
      </c>
      <c r="AF41" t="s">
        <v>66</v>
      </c>
      <c r="AG41">
        <v>47200</v>
      </c>
      <c r="AH41">
        <v>1</v>
      </c>
      <c r="AI41" s="9">
        <v>45641</v>
      </c>
      <c r="AJ41" t="s">
        <v>56</v>
      </c>
    </row>
    <row r="42" spans="1:36" ht="14.25" customHeight="1">
      <c r="A42" t="str">
        <f t="shared" si="0"/>
        <v>CUST11041</v>
      </c>
      <c r="B42" t="s">
        <v>192</v>
      </c>
      <c r="C42">
        <v>9759156711</v>
      </c>
      <c r="D42" t="s">
        <v>193</v>
      </c>
      <c r="E42" t="s">
        <v>194</v>
      </c>
      <c r="F42">
        <v>21</v>
      </c>
      <c r="G42" s="6" t="s">
        <v>60</v>
      </c>
      <c r="H42" s="6" t="s">
        <v>82</v>
      </c>
      <c r="I42" s="6" t="s">
        <v>51</v>
      </c>
      <c r="J42" s="6" t="s">
        <v>42</v>
      </c>
      <c r="K42" s="7">
        <v>1</v>
      </c>
      <c r="L42">
        <v>15</v>
      </c>
      <c r="M42">
        <v>4554.71</v>
      </c>
      <c r="N42" s="6" t="s">
        <v>53</v>
      </c>
      <c r="O42">
        <v>5</v>
      </c>
      <c r="P42">
        <v>77557.42</v>
      </c>
      <c r="Q42">
        <v>13</v>
      </c>
      <c r="R42">
        <v>1126</v>
      </c>
      <c r="S42">
        <f t="shared" si="1"/>
        <v>15511.484</v>
      </c>
      <c r="T42" s="6" t="str">
        <f t="shared" si="2"/>
        <v>Few Purchases</v>
      </c>
      <c r="U42" s="6" t="str">
        <f t="shared" si="3"/>
        <v>GOLD</v>
      </c>
      <c r="V42">
        <f t="shared" si="4"/>
        <v>1</v>
      </c>
      <c r="W42" s="8">
        <f t="shared" si="5"/>
        <v>1</v>
      </c>
      <c r="X42">
        <f t="shared" si="6"/>
        <v>2</v>
      </c>
      <c r="Y42">
        <f t="shared" si="7"/>
        <v>3</v>
      </c>
      <c r="Z42">
        <f t="shared" si="8"/>
        <v>3</v>
      </c>
      <c r="AA42">
        <f t="shared" si="9"/>
        <v>2</v>
      </c>
      <c r="AB42">
        <f t="shared" si="10"/>
        <v>1</v>
      </c>
      <c r="AC42" s="9">
        <v>45570</v>
      </c>
      <c r="AD42" s="9">
        <v>45787</v>
      </c>
      <c r="AE42" t="s">
        <v>65</v>
      </c>
      <c r="AF42" t="s">
        <v>45</v>
      </c>
      <c r="AG42">
        <v>29400</v>
      </c>
      <c r="AH42">
        <v>4</v>
      </c>
      <c r="AI42" s="9">
        <v>45618</v>
      </c>
      <c r="AJ42" t="s">
        <v>46</v>
      </c>
    </row>
    <row r="43" spans="1:36" ht="14.25" customHeight="1">
      <c r="A43" t="str">
        <f t="shared" si="0"/>
        <v>CUST11042</v>
      </c>
      <c r="B43" t="s">
        <v>195</v>
      </c>
      <c r="C43">
        <v>8153757719</v>
      </c>
      <c r="D43" t="s">
        <v>196</v>
      </c>
      <c r="E43" t="s">
        <v>197</v>
      </c>
      <c r="F43">
        <v>31</v>
      </c>
      <c r="G43" s="6" t="s">
        <v>60</v>
      </c>
      <c r="H43" s="6" t="s">
        <v>40</v>
      </c>
      <c r="I43" s="6" t="s">
        <v>62</v>
      </c>
      <c r="J43" s="6" t="s">
        <v>83</v>
      </c>
      <c r="K43" s="7">
        <v>4</v>
      </c>
      <c r="L43">
        <v>22</v>
      </c>
      <c r="M43">
        <v>1400.71</v>
      </c>
      <c r="N43" s="6" t="s">
        <v>43</v>
      </c>
      <c r="O43">
        <v>3</v>
      </c>
      <c r="P43">
        <v>14683.09</v>
      </c>
      <c r="Q43">
        <v>15</v>
      </c>
      <c r="R43">
        <v>576</v>
      </c>
      <c r="S43">
        <f t="shared" si="1"/>
        <v>4894.3633333333337</v>
      </c>
      <c r="T43" s="6" t="str">
        <f t="shared" si="2"/>
        <v>Few Purchases</v>
      </c>
      <c r="U43" s="6" t="str">
        <f t="shared" si="3"/>
        <v>BRONZE</v>
      </c>
      <c r="V43">
        <f t="shared" si="4"/>
        <v>1</v>
      </c>
      <c r="W43" s="8">
        <f t="shared" si="5"/>
        <v>3</v>
      </c>
      <c r="X43">
        <f t="shared" si="6"/>
        <v>2</v>
      </c>
      <c r="Y43">
        <f t="shared" si="7"/>
        <v>6</v>
      </c>
      <c r="Z43">
        <f t="shared" si="8"/>
        <v>4</v>
      </c>
      <c r="AA43">
        <f t="shared" si="9"/>
        <v>1</v>
      </c>
      <c r="AB43">
        <f t="shared" si="10"/>
        <v>3</v>
      </c>
      <c r="AC43" s="9">
        <v>45553</v>
      </c>
      <c r="AD43" s="9">
        <v>45776</v>
      </c>
      <c r="AE43" t="s">
        <v>74</v>
      </c>
      <c r="AF43" t="s">
        <v>55</v>
      </c>
      <c r="AG43">
        <v>36250</v>
      </c>
      <c r="AH43">
        <v>8</v>
      </c>
      <c r="AI43" s="9">
        <v>45570</v>
      </c>
      <c r="AJ43" t="s">
        <v>67</v>
      </c>
    </row>
    <row r="44" spans="1:36" ht="14.25" customHeight="1">
      <c r="A44" t="str">
        <f t="shared" si="0"/>
        <v>CUST11043</v>
      </c>
      <c r="B44" t="s">
        <v>198</v>
      </c>
      <c r="C44">
        <v>7667441287</v>
      </c>
      <c r="D44" t="s">
        <v>199</v>
      </c>
      <c r="E44" t="s">
        <v>200</v>
      </c>
      <c r="F44">
        <v>55</v>
      </c>
      <c r="G44" s="6" t="s">
        <v>39</v>
      </c>
      <c r="H44" s="6" t="s">
        <v>50</v>
      </c>
      <c r="I44" s="6" t="s">
        <v>90</v>
      </c>
      <c r="J44" s="6" t="s">
        <v>42</v>
      </c>
      <c r="K44" s="7">
        <v>20</v>
      </c>
      <c r="L44">
        <v>0</v>
      </c>
      <c r="M44">
        <v>2847.66</v>
      </c>
      <c r="N44" s="6" t="s">
        <v>73</v>
      </c>
      <c r="O44">
        <v>14</v>
      </c>
      <c r="P44">
        <v>20994.639999999999</v>
      </c>
      <c r="Q44">
        <v>16</v>
      </c>
      <c r="R44">
        <v>1664</v>
      </c>
      <c r="S44">
        <f t="shared" si="1"/>
        <v>1499.6171428571429</v>
      </c>
      <c r="T44" s="6" t="str">
        <f t="shared" si="2"/>
        <v>Frequent Buyer</v>
      </c>
      <c r="U44" s="6" t="str">
        <f t="shared" si="3"/>
        <v>BRONZE</v>
      </c>
      <c r="V44">
        <f t="shared" si="4"/>
        <v>0</v>
      </c>
      <c r="W44" s="8">
        <f t="shared" si="5"/>
        <v>3</v>
      </c>
      <c r="X44">
        <f t="shared" si="6"/>
        <v>1</v>
      </c>
      <c r="Y44">
        <f t="shared" si="7"/>
        <v>5</v>
      </c>
      <c r="Z44">
        <f t="shared" si="8"/>
        <v>2</v>
      </c>
      <c r="AA44">
        <f t="shared" si="9"/>
        <v>4</v>
      </c>
      <c r="AB44">
        <f t="shared" si="10"/>
        <v>1</v>
      </c>
      <c r="AC44" s="9">
        <v>45526</v>
      </c>
      <c r="AD44" s="9">
        <v>45759</v>
      </c>
      <c r="AE44" t="s">
        <v>54</v>
      </c>
      <c r="AF44" t="s">
        <v>45</v>
      </c>
      <c r="AG44">
        <v>41000</v>
      </c>
      <c r="AH44">
        <v>10</v>
      </c>
      <c r="AI44" s="9">
        <v>45553</v>
      </c>
      <c r="AJ44" t="s">
        <v>75</v>
      </c>
    </row>
    <row r="45" spans="1:36" ht="14.25" customHeight="1">
      <c r="A45" t="str">
        <f t="shared" si="0"/>
        <v>CUST11044</v>
      </c>
      <c r="B45" t="s">
        <v>201</v>
      </c>
      <c r="C45">
        <v>8897813915</v>
      </c>
      <c r="D45" t="s">
        <v>202</v>
      </c>
      <c r="E45" t="s">
        <v>203</v>
      </c>
      <c r="F45">
        <v>55</v>
      </c>
      <c r="G45" s="6" t="s">
        <v>60</v>
      </c>
      <c r="H45" s="6" t="s">
        <v>71</v>
      </c>
      <c r="I45" s="6" t="s">
        <v>41</v>
      </c>
      <c r="J45" s="6" t="s">
        <v>42</v>
      </c>
      <c r="K45" s="7">
        <v>25</v>
      </c>
      <c r="L45">
        <v>14</v>
      </c>
      <c r="M45">
        <v>495.64</v>
      </c>
      <c r="N45" s="6" t="s">
        <v>53</v>
      </c>
      <c r="O45">
        <v>16</v>
      </c>
      <c r="P45">
        <v>26628.35</v>
      </c>
      <c r="Q45">
        <v>19</v>
      </c>
      <c r="R45">
        <v>1271</v>
      </c>
      <c r="S45">
        <f t="shared" si="1"/>
        <v>1664.2718749999999</v>
      </c>
      <c r="T45" s="6" t="str">
        <f t="shared" si="2"/>
        <v>Frequent Buyer</v>
      </c>
      <c r="U45" s="6" t="str">
        <f t="shared" si="3"/>
        <v>SILVER</v>
      </c>
      <c r="V45">
        <f t="shared" si="4"/>
        <v>1</v>
      </c>
      <c r="W45" s="8">
        <f t="shared" si="5"/>
        <v>2</v>
      </c>
      <c r="X45">
        <f t="shared" si="6"/>
        <v>1</v>
      </c>
      <c r="Y45">
        <f t="shared" si="7"/>
        <v>1</v>
      </c>
      <c r="Z45">
        <f t="shared" si="8"/>
        <v>5</v>
      </c>
      <c r="AA45">
        <f t="shared" si="9"/>
        <v>2</v>
      </c>
      <c r="AB45">
        <f t="shared" si="10"/>
        <v>1</v>
      </c>
      <c r="AC45" s="9">
        <v>45487</v>
      </c>
      <c r="AD45" s="9">
        <v>45744</v>
      </c>
      <c r="AE45" t="s">
        <v>44</v>
      </c>
      <c r="AF45" t="s">
        <v>66</v>
      </c>
      <c r="AG45">
        <v>22850</v>
      </c>
      <c r="AH45">
        <v>0</v>
      </c>
      <c r="AI45" s="9">
        <v>45505</v>
      </c>
      <c r="AJ45" t="s">
        <v>56</v>
      </c>
    </row>
    <row r="46" spans="1:36" ht="14.25" customHeight="1">
      <c r="A46" t="str">
        <f t="shared" si="0"/>
        <v>CUST11045</v>
      </c>
      <c r="B46" t="s">
        <v>204</v>
      </c>
      <c r="C46">
        <v>8856440762</v>
      </c>
      <c r="D46" t="s">
        <v>205</v>
      </c>
      <c r="E46" t="s">
        <v>206</v>
      </c>
      <c r="F46">
        <v>30</v>
      </c>
      <c r="G46" s="6" t="s">
        <v>39</v>
      </c>
      <c r="H46" s="6" t="s">
        <v>50</v>
      </c>
      <c r="I46" s="6" t="s">
        <v>90</v>
      </c>
      <c r="J46" s="6" t="s">
        <v>42</v>
      </c>
      <c r="K46" s="7">
        <v>14</v>
      </c>
      <c r="L46">
        <v>0</v>
      </c>
      <c r="M46">
        <v>1620.47</v>
      </c>
      <c r="N46" s="6" t="s">
        <v>53</v>
      </c>
      <c r="O46">
        <v>6</v>
      </c>
      <c r="P46">
        <v>9424.09</v>
      </c>
      <c r="Q46">
        <v>0</v>
      </c>
      <c r="R46">
        <v>240</v>
      </c>
      <c r="S46">
        <f t="shared" si="1"/>
        <v>1570.6816666666666</v>
      </c>
      <c r="T46" s="6" t="str">
        <f t="shared" si="2"/>
        <v>Frequent Buyer</v>
      </c>
      <c r="U46" s="6" t="str">
        <f t="shared" si="3"/>
        <v>BRONZE</v>
      </c>
      <c r="V46">
        <f t="shared" si="4"/>
        <v>0</v>
      </c>
      <c r="W46" s="8">
        <f t="shared" si="5"/>
        <v>3</v>
      </c>
      <c r="X46">
        <f t="shared" si="6"/>
        <v>1</v>
      </c>
      <c r="Y46">
        <f t="shared" si="7"/>
        <v>5</v>
      </c>
      <c r="Z46">
        <f t="shared" si="8"/>
        <v>2</v>
      </c>
      <c r="AA46">
        <f t="shared" si="9"/>
        <v>2</v>
      </c>
      <c r="AB46">
        <f t="shared" si="10"/>
        <v>1</v>
      </c>
      <c r="AC46" s="9">
        <v>45445</v>
      </c>
      <c r="AD46" s="9">
        <v>45731</v>
      </c>
      <c r="AE46" t="s">
        <v>65</v>
      </c>
      <c r="AF46" t="s">
        <v>55</v>
      </c>
      <c r="AG46">
        <v>34000</v>
      </c>
      <c r="AH46">
        <v>13</v>
      </c>
      <c r="AI46" s="9">
        <v>45483</v>
      </c>
      <c r="AJ46" t="s">
        <v>46</v>
      </c>
    </row>
    <row r="47" spans="1:36" ht="14.25" customHeight="1">
      <c r="A47" t="str">
        <f t="shared" si="0"/>
        <v>CUST11046</v>
      </c>
      <c r="B47" t="s">
        <v>207</v>
      </c>
      <c r="C47">
        <v>7506769742</v>
      </c>
      <c r="D47" t="s">
        <v>208</v>
      </c>
      <c r="E47" t="s">
        <v>209</v>
      </c>
      <c r="F47">
        <v>28</v>
      </c>
      <c r="G47" s="6" t="s">
        <v>39</v>
      </c>
      <c r="H47" s="6" t="s">
        <v>104</v>
      </c>
      <c r="I47" s="6" t="s">
        <v>51</v>
      </c>
      <c r="J47" s="6" t="s">
        <v>52</v>
      </c>
      <c r="K47" s="7">
        <v>27</v>
      </c>
      <c r="L47">
        <v>0</v>
      </c>
      <c r="M47">
        <v>832</v>
      </c>
      <c r="N47" s="6" t="s">
        <v>43</v>
      </c>
      <c r="O47">
        <v>15</v>
      </c>
      <c r="P47">
        <v>15759.35</v>
      </c>
      <c r="Q47">
        <v>9</v>
      </c>
      <c r="R47">
        <v>493</v>
      </c>
      <c r="S47">
        <f t="shared" si="1"/>
        <v>1050.6233333333334</v>
      </c>
      <c r="T47" s="6" t="str">
        <f t="shared" si="2"/>
        <v>Frequent Buyer</v>
      </c>
      <c r="U47" s="6" t="str">
        <f t="shared" si="3"/>
        <v>BRONZE</v>
      </c>
      <c r="V47">
        <f t="shared" si="4"/>
        <v>0</v>
      </c>
      <c r="W47" s="8">
        <f t="shared" si="5"/>
        <v>3</v>
      </c>
      <c r="X47">
        <f t="shared" si="6"/>
        <v>1</v>
      </c>
      <c r="Y47">
        <f t="shared" si="7"/>
        <v>4</v>
      </c>
      <c r="Z47">
        <f t="shared" si="8"/>
        <v>3</v>
      </c>
      <c r="AA47">
        <f t="shared" si="9"/>
        <v>1</v>
      </c>
      <c r="AB47">
        <f t="shared" si="10"/>
        <v>2</v>
      </c>
      <c r="AC47" s="9">
        <v>45879</v>
      </c>
      <c r="AD47" s="9">
        <v>45901</v>
      </c>
      <c r="AE47" t="s">
        <v>44</v>
      </c>
      <c r="AF47" t="s">
        <v>45</v>
      </c>
      <c r="AG47">
        <v>15200</v>
      </c>
      <c r="AH47">
        <v>3</v>
      </c>
      <c r="AI47" s="9">
        <v>45894</v>
      </c>
      <c r="AJ47" t="s">
        <v>46</v>
      </c>
    </row>
    <row r="48" spans="1:36" ht="14.25" customHeight="1">
      <c r="A48" t="str">
        <f t="shared" si="0"/>
        <v>CUST11047</v>
      </c>
      <c r="B48" t="s">
        <v>210</v>
      </c>
      <c r="C48">
        <v>7590313556</v>
      </c>
      <c r="D48" t="s">
        <v>211</v>
      </c>
      <c r="E48" t="s">
        <v>212</v>
      </c>
      <c r="F48">
        <v>20</v>
      </c>
      <c r="G48" s="6" t="s">
        <v>39</v>
      </c>
      <c r="H48" s="6" t="s">
        <v>50</v>
      </c>
      <c r="I48" s="6" t="s">
        <v>72</v>
      </c>
      <c r="J48" s="6" t="s">
        <v>63</v>
      </c>
      <c r="K48" s="7">
        <v>0</v>
      </c>
      <c r="L48">
        <v>20</v>
      </c>
      <c r="M48">
        <v>675.96</v>
      </c>
      <c r="N48" s="6" t="s">
        <v>73</v>
      </c>
      <c r="O48">
        <v>20</v>
      </c>
      <c r="P48">
        <v>75150.990000000005</v>
      </c>
      <c r="Q48">
        <v>19</v>
      </c>
      <c r="R48">
        <v>686</v>
      </c>
      <c r="S48">
        <f t="shared" si="1"/>
        <v>3757.5495000000001</v>
      </c>
      <c r="T48" s="6" t="str">
        <f t="shared" si="2"/>
        <v>Frequent Buyer</v>
      </c>
      <c r="U48" s="6" t="str">
        <f t="shared" si="3"/>
        <v>GOLD</v>
      </c>
      <c r="V48">
        <f t="shared" si="4"/>
        <v>0</v>
      </c>
      <c r="W48" s="8">
        <f t="shared" si="5"/>
        <v>1</v>
      </c>
      <c r="X48">
        <f t="shared" si="6"/>
        <v>1</v>
      </c>
      <c r="Y48">
        <f t="shared" si="7"/>
        <v>5</v>
      </c>
      <c r="Z48">
        <f t="shared" si="8"/>
        <v>6</v>
      </c>
      <c r="AA48">
        <f t="shared" si="9"/>
        <v>4</v>
      </c>
      <c r="AB48">
        <f t="shared" si="10"/>
        <v>1</v>
      </c>
      <c r="AC48" s="9">
        <v>45843</v>
      </c>
      <c r="AD48" s="9">
        <v>45896</v>
      </c>
      <c r="AE48" t="s">
        <v>54</v>
      </c>
      <c r="AF48" t="s">
        <v>55</v>
      </c>
      <c r="AG48">
        <v>24850</v>
      </c>
      <c r="AH48">
        <v>7</v>
      </c>
      <c r="AI48" s="9">
        <v>45868</v>
      </c>
      <c r="AJ48" t="s">
        <v>56</v>
      </c>
    </row>
    <row r="49" spans="1:36" ht="14.25" customHeight="1">
      <c r="A49" t="str">
        <f t="shared" si="0"/>
        <v>CUST11048</v>
      </c>
      <c r="B49" t="s">
        <v>213</v>
      </c>
      <c r="C49">
        <v>9298767078</v>
      </c>
      <c r="D49" t="s">
        <v>214</v>
      </c>
      <c r="E49" t="s">
        <v>215</v>
      </c>
      <c r="F49">
        <v>39</v>
      </c>
      <c r="G49" s="6" t="s">
        <v>39</v>
      </c>
      <c r="H49" s="6" t="s">
        <v>50</v>
      </c>
      <c r="I49" s="6" t="s">
        <v>90</v>
      </c>
      <c r="J49" s="6" t="s">
        <v>83</v>
      </c>
      <c r="K49" s="7">
        <v>28</v>
      </c>
      <c r="L49">
        <v>0</v>
      </c>
      <c r="M49">
        <v>4852.46</v>
      </c>
      <c r="N49" s="6" t="s">
        <v>73</v>
      </c>
      <c r="O49">
        <v>1</v>
      </c>
      <c r="P49">
        <v>10660.24</v>
      </c>
      <c r="Q49">
        <v>4</v>
      </c>
      <c r="R49">
        <v>1870</v>
      </c>
      <c r="S49">
        <f t="shared" si="1"/>
        <v>10660.24</v>
      </c>
      <c r="T49" s="6" t="str">
        <f t="shared" si="2"/>
        <v>Single Purchase</v>
      </c>
      <c r="U49" s="6" t="str">
        <f t="shared" si="3"/>
        <v>BRONZE</v>
      </c>
      <c r="V49">
        <f t="shared" si="4"/>
        <v>0</v>
      </c>
      <c r="W49" s="8">
        <f t="shared" si="5"/>
        <v>3</v>
      </c>
      <c r="X49">
        <f t="shared" si="6"/>
        <v>3</v>
      </c>
      <c r="Y49">
        <f t="shared" si="7"/>
        <v>5</v>
      </c>
      <c r="Z49">
        <f t="shared" si="8"/>
        <v>2</v>
      </c>
      <c r="AA49">
        <f t="shared" si="9"/>
        <v>4</v>
      </c>
      <c r="AB49">
        <f t="shared" si="10"/>
        <v>3</v>
      </c>
      <c r="AC49" s="9">
        <v>45823</v>
      </c>
      <c r="AD49" s="9">
        <v>45889</v>
      </c>
      <c r="AE49" t="s">
        <v>65</v>
      </c>
      <c r="AF49" t="s">
        <v>66</v>
      </c>
      <c r="AG49">
        <v>33100</v>
      </c>
      <c r="AH49">
        <v>12</v>
      </c>
      <c r="AI49" s="9">
        <v>45848</v>
      </c>
      <c r="AJ49" t="s">
        <v>67</v>
      </c>
    </row>
    <row r="50" spans="1:36" ht="14.25" customHeight="1">
      <c r="A50" t="str">
        <f t="shared" si="0"/>
        <v>CUST11049</v>
      </c>
      <c r="B50" t="s">
        <v>216</v>
      </c>
      <c r="C50">
        <v>9933523638</v>
      </c>
      <c r="D50" t="s">
        <v>217</v>
      </c>
      <c r="E50" t="s">
        <v>218</v>
      </c>
      <c r="F50">
        <v>25</v>
      </c>
      <c r="G50" s="6" t="s">
        <v>60</v>
      </c>
      <c r="H50" s="6" t="s">
        <v>50</v>
      </c>
      <c r="I50" s="6" t="s">
        <v>62</v>
      </c>
      <c r="J50" s="6" t="s">
        <v>83</v>
      </c>
      <c r="K50" s="7">
        <v>15</v>
      </c>
      <c r="L50">
        <v>13</v>
      </c>
      <c r="M50">
        <v>406.36</v>
      </c>
      <c r="N50" s="6" t="s">
        <v>53</v>
      </c>
      <c r="O50">
        <v>2</v>
      </c>
      <c r="P50">
        <v>19827.46</v>
      </c>
      <c r="Q50">
        <v>4</v>
      </c>
      <c r="R50">
        <v>631</v>
      </c>
      <c r="S50">
        <f t="shared" si="1"/>
        <v>9913.73</v>
      </c>
      <c r="T50" s="6" t="str">
        <f t="shared" si="2"/>
        <v>Few Purchases</v>
      </c>
      <c r="U50" s="6" t="str">
        <f t="shared" si="3"/>
        <v>BRONZE</v>
      </c>
      <c r="V50">
        <f t="shared" si="4"/>
        <v>1</v>
      </c>
      <c r="W50" s="8">
        <f t="shared" si="5"/>
        <v>3</v>
      </c>
      <c r="X50">
        <f t="shared" si="6"/>
        <v>2</v>
      </c>
      <c r="Y50">
        <f t="shared" si="7"/>
        <v>5</v>
      </c>
      <c r="Z50">
        <f t="shared" si="8"/>
        <v>4</v>
      </c>
      <c r="AA50">
        <f t="shared" si="9"/>
        <v>2</v>
      </c>
      <c r="AB50">
        <f t="shared" si="10"/>
        <v>3</v>
      </c>
      <c r="AC50" s="9">
        <v>45805</v>
      </c>
      <c r="AD50" s="9">
        <v>45879</v>
      </c>
      <c r="AE50" t="s">
        <v>74</v>
      </c>
      <c r="AF50" t="s">
        <v>45</v>
      </c>
      <c r="AG50">
        <v>45900</v>
      </c>
      <c r="AH50">
        <v>0</v>
      </c>
      <c r="AI50" s="9">
        <v>45830</v>
      </c>
      <c r="AJ50" t="s">
        <v>75</v>
      </c>
    </row>
    <row r="51" spans="1:36" ht="14.25" customHeight="1">
      <c r="A51" t="str">
        <f t="shared" si="0"/>
        <v>CUST11050</v>
      </c>
      <c r="B51" t="s">
        <v>219</v>
      </c>
      <c r="C51">
        <v>9182426030</v>
      </c>
      <c r="D51" t="s">
        <v>220</v>
      </c>
      <c r="E51" t="s">
        <v>221</v>
      </c>
      <c r="F51">
        <v>33</v>
      </c>
      <c r="G51" s="6" t="s">
        <v>39</v>
      </c>
      <c r="H51" s="6" t="s">
        <v>50</v>
      </c>
      <c r="I51" s="6" t="s">
        <v>72</v>
      </c>
      <c r="J51" s="6" t="s">
        <v>42</v>
      </c>
      <c r="K51" s="7">
        <v>3</v>
      </c>
      <c r="L51">
        <v>23</v>
      </c>
      <c r="M51">
        <v>2199.67</v>
      </c>
      <c r="N51" s="6" t="s">
        <v>43</v>
      </c>
      <c r="O51">
        <v>10</v>
      </c>
      <c r="P51">
        <v>80504.84</v>
      </c>
      <c r="Q51">
        <v>9</v>
      </c>
      <c r="R51">
        <v>1274</v>
      </c>
      <c r="S51">
        <f t="shared" si="1"/>
        <v>8050.4839999999995</v>
      </c>
      <c r="T51" s="6" t="str">
        <f t="shared" si="2"/>
        <v>Frequent Buyer</v>
      </c>
      <c r="U51" s="6" t="str">
        <f t="shared" si="3"/>
        <v>GOLD</v>
      </c>
      <c r="V51">
        <f t="shared" si="4"/>
        <v>0</v>
      </c>
      <c r="W51" s="8">
        <f t="shared" si="5"/>
        <v>1</v>
      </c>
      <c r="X51">
        <f t="shared" si="6"/>
        <v>1</v>
      </c>
      <c r="Y51">
        <f t="shared" si="7"/>
        <v>5</v>
      </c>
      <c r="Z51">
        <f t="shared" si="8"/>
        <v>6</v>
      </c>
      <c r="AA51">
        <f t="shared" si="9"/>
        <v>1</v>
      </c>
      <c r="AB51">
        <f t="shared" si="10"/>
        <v>1</v>
      </c>
      <c r="AC51" s="9">
        <v>45759</v>
      </c>
      <c r="AD51" s="9">
        <v>45868</v>
      </c>
      <c r="AE51" t="s">
        <v>44</v>
      </c>
      <c r="AF51" t="s">
        <v>55</v>
      </c>
      <c r="AG51">
        <v>12500</v>
      </c>
      <c r="AH51">
        <v>5</v>
      </c>
      <c r="AI51" s="9">
        <v>45782</v>
      </c>
      <c r="AJ51" t="s">
        <v>46</v>
      </c>
    </row>
    <row r="52" spans="1:36" ht="14.25" customHeight="1">
      <c r="A52" t="str">
        <f t="shared" si="0"/>
        <v>CUST11051</v>
      </c>
      <c r="B52" t="s">
        <v>222</v>
      </c>
      <c r="C52">
        <v>9494843813</v>
      </c>
      <c r="D52" t="s">
        <v>223</v>
      </c>
      <c r="E52" t="s">
        <v>224</v>
      </c>
      <c r="F52">
        <v>28</v>
      </c>
      <c r="G52" s="6" t="s">
        <v>39</v>
      </c>
      <c r="H52" s="6" t="s">
        <v>61</v>
      </c>
      <c r="I52" s="6" t="s">
        <v>90</v>
      </c>
      <c r="J52" s="6" t="s">
        <v>83</v>
      </c>
      <c r="K52" s="7">
        <v>1</v>
      </c>
      <c r="L52">
        <v>21</v>
      </c>
      <c r="M52">
        <v>601.49</v>
      </c>
      <c r="N52" s="6" t="s">
        <v>43</v>
      </c>
      <c r="O52">
        <v>14</v>
      </c>
      <c r="P52">
        <v>50739.61</v>
      </c>
      <c r="Q52">
        <v>13</v>
      </c>
      <c r="R52">
        <v>117</v>
      </c>
      <c r="S52">
        <f t="shared" si="1"/>
        <v>3624.2578571428571</v>
      </c>
      <c r="T52" s="6" t="str">
        <f t="shared" si="2"/>
        <v>Frequent Buyer</v>
      </c>
      <c r="U52" s="6" t="str">
        <f t="shared" si="3"/>
        <v>SILVER</v>
      </c>
      <c r="V52">
        <f t="shared" si="4"/>
        <v>0</v>
      </c>
      <c r="W52" s="8">
        <f t="shared" si="5"/>
        <v>2</v>
      </c>
      <c r="X52">
        <f t="shared" si="6"/>
        <v>1</v>
      </c>
      <c r="Y52">
        <f t="shared" si="7"/>
        <v>2</v>
      </c>
      <c r="Z52">
        <f t="shared" si="8"/>
        <v>2</v>
      </c>
      <c r="AA52">
        <f t="shared" si="9"/>
        <v>1</v>
      </c>
      <c r="AB52">
        <f t="shared" si="10"/>
        <v>3</v>
      </c>
      <c r="AC52" s="9">
        <v>45746</v>
      </c>
      <c r="AD52" s="9">
        <v>45853</v>
      </c>
      <c r="AE52" t="s">
        <v>54</v>
      </c>
      <c r="AF52" t="s">
        <v>66</v>
      </c>
      <c r="AG52">
        <v>39950</v>
      </c>
      <c r="AH52">
        <v>9</v>
      </c>
      <c r="AI52" s="9">
        <v>45765</v>
      </c>
      <c r="AJ52" t="s">
        <v>56</v>
      </c>
    </row>
    <row r="53" spans="1:36" ht="14.25" customHeight="1">
      <c r="A53" t="str">
        <f t="shared" si="0"/>
        <v>CUST11052</v>
      </c>
      <c r="B53" t="s">
        <v>225</v>
      </c>
      <c r="C53">
        <v>8881141679</v>
      </c>
      <c r="D53" t="s">
        <v>226</v>
      </c>
      <c r="E53" t="s">
        <v>227</v>
      </c>
      <c r="F53">
        <v>21</v>
      </c>
      <c r="G53" s="6" t="s">
        <v>39</v>
      </c>
      <c r="H53" s="6" t="s">
        <v>50</v>
      </c>
      <c r="I53" s="6" t="s">
        <v>90</v>
      </c>
      <c r="J53" s="6" t="s">
        <v>63</v>
      </c>
      <c r="K53" s="7">
        <v>28</v>
      </c>
      <c r="L53">
        <v>23</v>
      </c>
      <c r="M53">
        <v>1001.54</v>
      </c>
      <c r="N53" s="6" t="s">
        <v>64</v>
      </c>
      <c r="O53">
        <v>11</v>
      </c>
      <c r="P53">
        <v>75355.850000000006</v>
      </c>
      <c r="Q53">
        <v>10</v>
      </c>
      <c r="R53">
        <v>1961</v>
      </c>
      <c r="S53">
        <f t="shared" si="1"/>
        <v>6850.5318181818184</v>
      </c>
      <c r="T53" s="6" t="str">
        <f t="shared" si="2"/>
        <v>Frequent Buyer</v>
      </c>
      <c r="U53" s="6" t="str">
        <f t="shared" si="3"/>
        <v>GOLD</v>
      </c>
      <c r="V53">
        <f t="shared" si="4"/>
        <v>0</v>
      </c>
      <c r="W53" s="8">
        <f t="shared" si="5"/>
        <v>1</v>
      </c>
      <c r="X53">
        <f t="shared" si="6"/>
        <v>1</v>
      </c>
      <c r="Y53">
        <f t="shared" si="7"/>
        <v>5</v>
      </c>
      <c r="Z53">
        <f t="shared" si="8"/>
        <v>2</v>
      </c>
      <c r="AA53">
        <f t="shared" si="9"/>
        <v>3</v>
      </c>
      <c r="AB53">
        <f t="shared" si="10"/>
        <v>1</v>
      </c>
      <c r="AC53" s="9">
        <v>45702</v>
      </c>
      <c r="AD53" s="9">
        <v>45839</v>
      </c>
      <c r="AE53" t="s">
        <v>65</v>
      </c>
      <c r="AF53" t="s">
        <v>45</v>
      </c>
      <c r="AG53">
        <v>21200</v>
      </c>
      <c r="AH53">
        <v>2</v>
      </c>
      <c r="AI53" s="9">
        <v>45728</v>
      </c>
      <c r="AJ53" t="s">
        <v>67</v>
      </c>
    </row>
    <row r="54" spans="1:36" ht="14.25" customHeight="1">
      <c r="A54" t="str">
        <f t="shared" si="0"/>
        <v>CUST11053</v>
      </c>
      <c r="B54" t="s">
        <v>228</v>
      </c>
      <c r="C54">
        <v>9883408960</v>
      </c>
      <c r="D54" t="s">
        <v>229</v>
      </c>
      <c r="E54" t="s">
        <v>230</v>
      </c>
      <c r="F54">
        <v>44</v>
      </c>
      <c r="G54" s="6" t="s">
        <v>60</v>
      </c>
      <c r="H54" s="6" t="s">
        <v>104</v>
      </c>
      <c r="I54" s="6" t="s">
        <v>94</v>
      </c>
      <c r="J54" s="6" t="s">
        <v>42</v>
      </c>
      <c r="K54" s="7">
        <v>1</v>
      </c>
      <c r="L54">
        <v>23</v>
      </c>
      <c r="M54">
        <v>4873.8900000000003</v>
      </c>
      <c r="N54" s="6" t="s">
        <v>53</v>
      </c>
      <c r="O54">
        <v>10</v>
      </c>
      <c r="P54">
        <v>87216.37</v>
      </c>
      <c r="Q54">
        <v>1</v>
      </c>
      <c r="R54">
        <v>430</v>
      </c>
      <c r="S54">
        <f t="shared" si="1"/>
        <v>8721.6369999999988</v>
      </c>
      <c r="T54" s="6" t="str">
        <f t="shared" si="2"/>
        <v>Frequent Buyer</v>
      </c>
      <c r="U54" s="6" t="str">
        <f t="shared" si="3"/>
        <v>GOLD</v>
      </c>
      <c r="V54">
        <f t="shared" si="4"/>
        <v>1</v>
      </c>
      <c r="W54" s="8">
        <f t="shared" si="5"/>
        <v>1</v>
      </c>
      <c r="X54">
        <f t="shared" si="6"/>
        <v>1</v>
      </c>
      <c r="Y54">
        <f t="shared" si="7"/>
        <v>4</v>
      </c>
      <c r="Z54">
        <f t="shared" si="8"/>
        <v>1</v>
      </c>
      <c r="AA54">
        <f t="shared" si="9"/>
        <v>2</v>
      </c>
      <c r="AB54">
        <f t="shared" si="10"/>
        <v>1</v>
      </c>
      <c r="AC54" s="9">
        <v>45682</v>
      </c>
      <c r="AD54" s="9">
        <v>45826</v>
      </c>
      <c r="AE54" t="s">
        <v>74</v>
      </c>
      <c r="AF54" t="s">
        <v>55</v>
      </c>
      <c r="AG54">
        <v>30500</v>
      </c>
      <c r="AH54">
        <v>11</v>
      </c>
      <c r="AI54" s="9">
        <v>45713</v>
      </c>
      <c r="AJ54" t="s">
        <v>46</v>
      </c>
    </row>
    <row r="55" spans="1:36" ht="14.25" customHeight="1">
      <c r="A55" t="str">
        <f t="shared" si="0"/>
        <v>CUST11054</v>
      </c>
      <c r="B55" t="s">
        <v>231</v>
      </c>
      <c r="C55">
        <v>8080472984</v>
      </c>
      <c r="D55" t="s">
        <v>232</v>
      </c>
      <c r="E55" t="s">
        <v>233</v>
      </c>
      <c r="F55">
        <v>28</v>
      </c>
      <c r="G55" s="6" t="s">
        <v>39</v>
      </c>
      <c r="H55" s="6" t="s">
        <v>50</v>
      </c>
      <c r="I55" s="6" t="s">
        <v>41</v>
      </c>
      <c r="J55" s="6" t="s">
        <v>83</v>
      </c>
      <c r="K55" s="7">
        <v>30</v>
      </c>
      <c r="L55">
        <v>24</v>
      </c>
      <c r="M55">
        <v>1014</v>
      </c>
      <c r="N55" s="6" t="s">
        <v>73</v>
      </c>
      <c r="O55">
        <v>13</v>
      </c>
      <c r="P55">
        <v>43760.91</v>
      </c>
      <c r="Q55">
        <v>13</v>
      </c>
      <c r="R55">
        <v>1018</v>
      </c>
      <c r="S55">
        <f t="shared" si="1"/>
        <v>3366.2238461538464</v>
      </c>
      <c r="T55" s="6" t="str">
        <f t="shared" si="2"/>
        <v>Frequent Buyer</v>
      </c>
      <c r="U55" s="6" t="str">
        <f t="shared" si="3"/>
        <v>SILVER</v>
      </c>
      <c r="V55">
        <f t="shared" si="4"/>
        <v>0</v>
      </c>
      <c r="W55" s="8">
        <f t="shared" si="5"/>
        <v>2</v>
      </c>
      <c r="X55">
        <f t="shared" si="6"/>
        <v>1</v>
      </c>
      <c r="Y55">
        <f t="shared" si="7"/>
        <v>5</v>
      </c>
      <c r="Z55">
        <f t="shared" si="8"/>
        <v>5</v>
      </c>
      <c r="AA55">
        <f t="shared" si="9"/>
        <v>4</v>
      </c>
      <c r="AB55">
        <f t="shared" si="10"/>
        <v>3</v>
      </c>
      <c r="AC55" s="9">
        <v>45645</v>
      </c>
      <c r="AD55" s="9">
        <v>45813</v>
      </c>
      <c r="AE55" t="s">
        <v>54</v>
      </c>
      <c r="AF55" t="s">
        <v>45</v>
      </c>
      <c r="AG55">
        <v>18750</v>
      </c>
      <c r="AH55">
        <v>6</v>
      </c>
      <c r="AI55" s="9">
        <v>45687</v>
      </c>
      <c r="AJ55" t="s">
        <v>75</v>
      </c>
    </row>
    <row r="56" spans="1:36" ht="14.25" customHeight="1">
      <c r="A56" t="str">
        <f t="shared" si="0"/>
        <v>CUST11055</v>
      </c>
      <c r="B56" t="s">
        <v>234</v>
      </c>
      <c r="C56">
        <v>9701920657</v>
      </c>
      <c r="D56" t="s">
        <v>235</v>
      </c>
      <c r="E56" t="s">
        <v>236</v>
      </c>
      <c r="F56">
        <v>48</v>
      </c>
      <c r="G56" s="6" t="s">
        <v>39</v>
      </c>
      <c r="H56" s="6" t="s">
        <v>61</v>
      </c>
      <c r="I56" s="6" t="s">
        <v>90</v>
      </c>
      <c r="J56" s="6" t="s">
        <v>52</v>
      </c>
      <c r="K56" s="7">
        <v>23</v>
      </c>
      <c r="L56">
        <v>0</v>
      </c>
      <c r="M56">
        <v>4634.84</v>
      </c>
      <c r="N56" s="6" t="s">
        <v>64</v>
      </c>
      <c r="O56">
        <v>9</v>
      </c>
      <c r="P56">
        <v>51886.61</v>
      </c>
      <c r="Q56">
        <v>5</v>
      </c>
      <c r="R56">
        <v>1812</v>
      </c>
      <c r="S56">
        <f t="shared" si="1"/>
        <v>5765.1788888888887</v>
      </c>
      <c r="T56" s="6" t="str">
        <f t="shared" si="2"/>
        <v>Frequent Buyer</v>
      </c>
      <c r="U56" s="6" t="str">
        <f t="shared" si="3"/>
        <v>SILVER</v>
      </c>
      <c r="V56">
        <f t="shared" si="4"/>
        <v>0</v>
      </c>
      <c r="W56" s="8">
        <f t="shared" si="5"/>
        <v>2</v>
      </c>
      <c r="X56">
        <f t="shared" si="6"/>
        <v>1</v>
      </c>
      <c r="Y56">
        <f t="shared" si="7"/>
        <v>2</v>
      </c>
      <c r="Z56">
        <f t="shared" si="8"/>
        <v>2</v>
      </c>
      <c r="AA56">
        <f t="shared" si="9"/>
        <v>3</v>
      </c>
      <c r="AB56">
        <f t="shared" si="10"/>
        <v>2</v>
      </c>
      <c r="AC56" s="9">
        <v>45606</v>
      </c>
      <c r="AD56" s="9">
        <v>45802</v>
      </c>
      <c r="AE56" t="s">
        <v>44</v>
      </c>
      <c r="AF56" t="s">
        <v>66</v>
      </c>
      <c r="AG56">
        <v>47200</v>
      </c>
      <c r="AH56">
        <v>1</v>
      </c>
      <c r="AI56" s="9">
        <v>45641</v>
      </c>
      <c r="AJ56" t="s">
        <v>56</v>
      </c>
    </row>
    <row r="57" spans="1:36" ht="14.25" customHeight="1">
      <c r="A57" t="str">
        <f t="shared" si="0"/>
        <v>CUST11056</v>
      </c>
      <c r="B57" t="s">
        <v>237</v>
      </c>
      <c r="C57">
        <v>9639428916</v>
      </c>
      <c r="D57" t="s">
        <v>238</v>
      </c>
      <c r="E57" t="s">
        <v>239</v>
      </c>
      <c r="F57">
        <v>47</v>
      </c>
      <c r="G57" s="6" t="s">
        <v>39</v>
      </c>
      <c r="H57" s="6" t="s">
        <v>82</v>
      </c>
      <c r="I57" s="6" t="s">
        <v>51</v>
      </c>
      <c r="J57" s="6" t="s">
        <v>115</v>
      </c>
      <c r="K57" s="7">
        <v>13</v>
      </c>
      <c r="L57">
        <v>17</v>
      </c>
      <c r="M57">
        <v>3940.01</v>
      </c>
      <c r="N57" s="6" t="s">
        <v>43</v>
      </c>
      <c r="O57">
        <v>15</v>
      </c>
      <c r="P57">
        <v>66878.600000000006</v>
      </c>
      <c r="Q57">
        <v>3</v>
      </c>
      <c r="R57">
        <v>1048</v>
      </c>
      <c r="S57">
        <f t="shared" si="1"/>
        <v>4458.5733333333337</v>
      </c>
      <c r="T57" s="6" t="str">
        <f t="shared" si="2"/>
        <v>Frequent Buyer</v>
      </c>
      <c r="U57" s="6" t="str">
        <f t="shared" si="3"/>
        <v>GOLD</v>
      </c>
      <c r="V57">
        <f t="shared" si="4"/>
        <v>0</v>
      </c>
      <c r="W57" s="8">
        <f t="shared" si="5"/>
        <v>1</v>
      </c>
      <c r="X57">
        <f t="shared" si="6"/>
        <v>1</v>
      </c>
      <c r="Y57">
        <f t="shared" si="7"/>
        <v>3</v>
      </c>
      <c r="Z57">
        <f t="shared" si="8"/>
        <v>3</v>
      </c>
      <c r="AA57">
        <f t="shared" si="9"/>
        <v>1</v>
      </c>
      <c r="AB57">
        <f t="shared" si="10"/>
        <v>4</v>
      </c>
      <c r="AC57" s="9">
        <v>45570</v>
      </c>
      <c r="AD57" s="9">
        <v>45787</v>
      </c>
      <c r="AE57" t="s">
        <v>65</v>
      </c>
      <c r="AF57" t="s">
        <v>45</v>
      </c>
      <c r="AG57">
        <v>29400</v>
      </c>
      <c r="AH57">
        <v>4</v>
      </c>
      <c r="AI57" s="9">
        <v>45618</v>
      </c>
      <c r="AJ57" t="s">
        <v>46</v>
      </c>
    </row>
    <row r="58" spans="1:36" ht="14.25" customHeight="1">
      <c r="A58" t="str">
        <f t="shared" si="0"/>
        <v>CUST11057</v>
      </c>
      <c r="B58" t="s">
        <v>240</v>
      </c>
      <c r="C58">
        <v>7007976021</v>
      </c>
      <c r="D58" t="s">
        <v>241</v>
      </c>
      <c r="E58" t="s">
        <v>242</v>
      </c>
      <c r="F58">
        <v>33</v>
      </c>
      <c r="G58" s="6" t="s">
        <v>39</v>
      </c>
      <c r="H58" s="6" t="s">
        <v>71</v>
      </c>
      <c r="I58" s="6" t="s">
        <v>90</v>
      </c>
      <c r="J58" s="6" t="s">
        <v>83</v>
      </c>
      <c r="K58" s="7">
        <v>9</v>
      </c>
      <c r="L58">
        <v>5</v>
      </c>
      <c r="M58">
        <v>2961.97</v>
      </c>
      <c r="N58" s="6" t="s">
        <v>43</v>
      </c>
      <c r="O58">
        <v>15</v>
      </c>
      <c r="P58">
        <v>77628.149999999994</v>
      </c>
      <c r="Q58">
        <v>9</v>
      </c>
      <c r="R58">
        <v>1352</v>
      </c>
      <c r="S58">
        <f t="shared" si="1"/>
        <v>5175.21</v>
      </c>
      <c r="T58" s="6" t="str">
        <f t="shared" si="2"/>
        <v>Frequent Buyer</v>
      </c>
      <c r="U58" s="6" t="str">
        <f t="shared" si="3"/>
        <v>GOLD</v>
      </c>
      <c r="V58">
        <f t="shared" si="4"/>
        <v>0</v>
      </c>
      <c r="W58" s="8">
        <f t="shared" si="5"/>
        <v>1</v>
      </c>
      <c r="X58">
        <f t="shared" si="6"/>
        <v>1</v>
      </c>
      <c r="Y58">
        <f t="shared" si="7"/>
        <v>1</v>
      </c>
      <c r="Z58">
        <f t="shared" si="8"/>
        <v>2</v>
      </c>
      <c r="AA58">
        <f t="shared" si="9"/>
        <v>1</v>
      </c>
      <c r="AB58">
        <f t="shared" si="10"/>
        <v>3</v>
      </c>
      <c r="AC58" s="9">
        <v>45553</v>
      </c>
      <c r="AD58" s="9">
        <v>45776</v>
      </c>
      <c r="AE58" t="s">
        <v>74</v>
      </c>
      <c r="AF58" t="s">
        <v>55</v>
      </c>
      <c r="AG58">
        <v>36250</v>
      </c>
      <c r="AH58">
        <v>8</v>
      </c>
      <c r="AI58" s="9">
        <v>45570</v>
      </c>
      <c r="AJ58" t="s">
        <v>67</v>
      </c>
    </row>
    <row r="59" spans="1:36" ht="14.25" customHeight="1">
      <c r="A59" t="str">
        <f t="shared" si="0"/>
        <v>CUST11058</v>
      </c>
      <c r="B59" t="s">
        <v>243</v>
      </c>
      <c r="C59">
        <v>7687914418</v>
      </c>
      <c r="D59" t="s">
        <v>244</v>
      </c>
      <c r="E59" t="s">
        <v>245</v>
      </c>
      <c r="F59">
        <v>27</v>
      </c>
      <c r="G59" s="6" t="s">
        <v>60</v>
      </c>
      <c r="H59" s="6" t="s">
        <v>50</v>
      </c>
      <c r="I59" s="6" t="s">
        <v>72</v>
      </c>
      <c r="J59" s="6" t="s">
        <v>63</v>
      </c>
      <c r="K59" s="7">
        <v>23</v>
      </c>
      <c r="L59">
        <v>12</v>
      </c>
      <c r="M59">
        <v>4079.3</v>
      </c>
      <c r="N59" s="6" t="s">
        <v>53</v>
      </c>
      <c r="O59">
        <v>14</v>
      </c>
      <c r="P59">
        <v>70158.28</v>
      </c>
      <c r="Q59">
        <v>11</v>
      </c>
      <c r="R59">
        <v>1020</v>
      </c>
      <c r="S59">
        <f t="shared" si="1"/>
        <v>5011.3057142857142</v>
      </c>
      <c r="T59" s="6" t="str">
        <f t="shared" si="2"/>
        <v>Frequent Buyer</v>
      </c>
      <c r="U59" s="6" t="str">
        <f t="shared" si="3"/>
        <v>GOLD</v>
      </c>
      <c r="V59">
        <f t="shared" si="4"/>
        <v>1</v>
      </c>
      <c r="W59" s="8">
        <f t="shared" si="5"/>
        <v>1</v>
      </c>
      <c r="X59">
        <f t="shared" si="6"/>
        <v>1</v>
      </c>
      <c r="Y59">
        <f t="shared" si="7"/>
        <v>5</v>
      </c>
      <c r="Z59">
        <f t="shared" si="8"/>
        <v>6</v>
      </c>
      <c r="AA59">
        <f t="shared" si="9"/>
        <v>2</v>
      </c>
      <c r="AB59">
        <f t="shared" si="10"/>
        <v>1</v>
      </c>
      <c r="AC59" s="9">
        <v>45526</v>
      </c>
      <c r="AD59" s="9">
        <v>45759</v>
      </c>
      <c r="AE59" t="s">
        <v>54</v>
      </c>
      <c r="AF59" t="s">
        <v>45</v>
      </c>
      <c r="AG59">
        <v>41000</v>
      </c>
      <c r="AH59">
        <v>10</v>
      </c>
      <c r="AI59" s="9">
        <v>45553</v>
      </c>
      <c r="AJ59" t="s">
        <v>75</v>
      </c>
    </row>
    <row r="60" spans="1:36" ht="14.25" customHeight="1">
      <c r="A60" t="str">
        <f t="shared" si="0"/>
        <v>CUST11059</v>
      </c>
      <c r="B60" t="s">
        <v>246</v>
      </c>
      <c r="C60">
        <v>7128146067</v>
      </c>
      <c r="D60" t="s">
        <v>247</v>
      </c>
      <c r="E60" t="s">
        <v>248</v>
      </c>
      <c r="F60">
        <v>43</v>
      </c>
      <c r="G60" s="6" t="s">
        <v>39</v>
      </c>
      <c r="H60" s="6" t="s">
        <v>61</v>
      </c>
      <c r="I60" s="6" t="s">
        <v>72</v>
      </c>
      <c r="J60" s="6" t="s">
        <v>42</v>
      </c>
      <c r="K60" s="7">
        <v>29</v>
      </c>
      <c r="L60">
        <v>24</v>
      </c>
      <c r="M60">
        <v>1637.06</v>
      </c>
      <c r="N60" s="6" t="s">
        <v>53</v>
      </c>
      <c r="O60">
        <v>3</v>
      </c>
      <c r="P60">
        <v>35765.410000000003</v>
      </c>
      <c r="Q60">
        <v>5</v>
      </c>
      <c r="R60">
        <v>236</v>
      </c>
      <c r="S60">
        <f t="shared" si="1"/>
        <v>11921.803333333335</v>
      </c>
      <c r="T60" s="6" t="str">
        <f t="shared" si="2"/>
        <v>Few Purchases</v>
      </c>
      <c r="U60" s="6" t="str">
        <f t="shared" si="3"/>
        <v>SILVER</v>
      </c>
      <c r="V60">
        <f t="shared" si="4"/>
        <v>0</v>
      </c>
      <c r="W60" s="8">
        <f t="shared" si="5"/>
        <v>2</v>
      </c>
      <c r="X60">
        <f t="shared" si="6"/>
        <v>2</v>
      </c>
      <c r="Y60">
        <f t="shared" si="7"/>
        <v>2</v>
      </c>
      <c r="Z60">
        <f t="shared" si="8"/>
        <v>6</v>
      </c>
      <c r="AA60">
        <f t="shared" si="9"/>
        <v>2</v>
      </c>
      <c r="AB60">
        <f t="shared" si="10"/>
        <v>1</v>
      </c>
      <c r="AC60" s="9">
        <v>45487</v>
      </c>
      <c r="AD60" s="9">
        <v>45744</v>
      </c>
      <c r="AE60" t="s">
        <v>44</v>
      </c>
      <c r="AF60" t="s">
        <v>66</v>
      </c>
      <c r="AG60">
        <v>22850</v>
      </c>
      <c r="AH60">
        <v>0</v>
      </c>
      <c r="AI60" s="9">
        <v>45505</v>
      </c>
      <c r="AJ60" t="s">
        <v>56</v>
      </c>
    </row>
    <row r="61" spans="1:36" ht="14.25" customHeight="1">
      <c r="A61" t="str">
        <f t="shared" si="0"/>
        <v>CUST11060</v>
      </c>
      <c r="B61" t="s">
        <v>249</v>
      </c>
      <c r="C61">
        <v>9764763575</v>
      </c>
      <c r="D61" t="s">
        <v>250</v>
      </c>
      <c r="E61" t="s">
        <v>251</v>
      </c>
      <c r="F61">
        <v>26</v>
      </c>
      <c r="G61" s="6" t="s">
        <v>39</v>
      </c>
      <c r="H61" s="6" t="s">
        <v>61</v>
      </c>
      <c r="I61" s="6" t="s">
        <v>90</v>
      </c>
      <c r="J61" s="6" t="s">
        <v>42</v>
      </c>
      <c r="K61" s="7">
        <v>2</v>
      </c>
      <c r="L61">
        <v>12</v>
      </c>
      <c r="M61">
        <v>4132.58</v>
      </c>
      <c r="N61" s="6" t="s">
        <v>73</v>
      </c>
      <c r="O61">
        <v>15</v>
      </c>
      <c r="P61">
        <v>25207.05</v>
      </c>
      <c r="Q61">
        <v>13</v>
      </c>
      <c r="R61">
        <v>1926</v>
      </c>
      <c r="S61">
        <f t="shared" si="1"/>
        <v>1680.47</v>
      </c>
      <c r="T61" s="6" t="str">
        <f t="shared" si="2"/>
        <v>Frequent Buyer</v>
      </c>
      <c r="U61" s="6" t="str">
        <f t="shared" si="3"/>
        <v>SILVER</v>
      </c>
      <c r="V61">
        <f t="shared" si="4"/>
        <v>0</v>
      </c>
      <c r="W61" s="8">
        <f t="shared" si="5"/>
        <v>2</v>
      </c>
      <c r="X61">
        <f t="shared" si="6"/>
        <v>1</v>
      </c>
      <c r="Y61">
        <f t="shared" si="7"/>
        <v>2</v>
      </c>
      <c r="Z61">
        <f t="shared" si="8"/>
        <v>2</v>
      </c>
      <c r="AA61">
        <f t="shared" si="9"/>
        <v>4</v>
      </c>
      <c r="AB61">
        <f t="shared" si="10"/>
        <v>1</v>
      </c>
      <c r="AC61" s="9">
        <v>45445</v>
      </c>
      <c r="AD61" s="9">
        <v>45731</v>
      </c>
      <c r="AE61" t="s">
        <v>65</v>
      </c>
      <c r="AF61" t="s">
        <v>55</v>
      </c>
      <c r="AG61">
        <v>34000</v>
      </c>
      <c r="AH61">
        <v>13</v>
      </c>
      <c r="AI61" s="9">
        <v>45483</v>
      </c>
      <c r="AJ61" t="s">
        <v>46</v>
      </c>
    </row>
    <row r="62" spans="1:36" ht="14.25" customHeight="1">
      <c r="A62" t="str">
        <f t="shared" si="0"/>
        <v>CUST11061</v>
      </c>
      <c r="B62" t="s">
        <v>252</v>
      </c>
      <c r="C62">
        <v>8684321700</v>
      </c>
      <c r="D62" t="s">
        <v>253</v>
      </c>
      <c r="E62" t="s">
        <v>254</v>
      </c>
      <c r="F62">
        <v>31</v>
      </c>
      <c r="G62" s="6" t="s">
        <v>60</v>
      </c>
      <c r="H62" s="6" t="s">
        <v>61</v>
      </c>
      <c r="I62" s="6" t="s">
        <v>72</v>
      </c>
      <c r="J62" s="6" t="s">
        <v>42</v>
      </c>
      <c r="K62" s="7">
        <v>5</v>
      </c>
      <c r="L62">
        <v>5</v>
      </c>
      <c r="M62">
        <v>3723.06</v>
      </c>
      <c r="N62" s="6" t="s">
        <v>64</v>
      </c>
      <c r="O62">
        <v>10</v>
      </c>
      <c r="P62">
        <v>8041.44</v>
      </c>
      <c r="Q62">
        <v>9</v>
      </c>
      <c r="R62">
        <v>1479</v>
      </c>
      <c r="S62">
        <f t="shared" si="1"/>
        <v>804.14400000000001</v>
      </c>
      <c r="T62" s="6" t="str">
        <f t="shared" si="2"/>
        <v>Frequent Buyer</v>
      </c>
      <c r="U62" s="6" t="str">
        <f t="shared" si="3"/>
        <v>BRONZE</v>
      </c>
      <c r="V62">
        <f t="shared" si="4"/>
        <v>1</v>
      </c>
      <c r="W62" s="8">
        <f t="shared" si="5"/>
        <v>3</v>
      </c>
      <c r="X62">
        <f t="shared" si="6"/>
        <v>1</v>
      </c>
      <c r="Y62">
        <f t="shared" si="7"/>
        <v>2</v>
      </c>
      <c r="Z62">
        <f t="shared" si="8"/>
        <v>6</v>
      </c>
      <c r="AA62">
        <f t="shared" si="9"/>
        <v>3</v>
      </c>
      <c r="AB62">
        <f t="shared" si="10"/>
        <v>1</v>
      </c>
      <c r="AC62" s="9">
        <v>45879</v>
      </c>
      <c r="AD62" s="9">
        <v>45901</v>
      </c>
      <c r="AE62" t="s">
        <v>44</v>
      </c>
      <c r="AF62" t="s">
        <v>45</v>
      </c>
      <c r="AG62">
        <v>15200</v>
      </c>
      <c r="AH62">
        <v>3</v>
      </c>
      <c r="AI62" s="9">
        <v>45894</v>
      </c>
      <c r="AJ62" t="s">
        <v>46</v>
      </c>
    </row>
    <row r="63" spans="1:36" ht="14.25" customHeight="1">
      <c r="A63" t="str">
        <f t="shared" si="0"/>
        <v>CUST11062</v>
      </c>
      <c r="B63" t="s">
        <v>255</v>
      </c>
      <c r="C63">
        <v>9389266762</v>
      </c>
      <c r="D63" t="s">
        <v>256</v>
      </c>
      <c r="E63" t="s">
        <v>257</v>
      </c>
      <c r="F63">
        <v>41</v>
      </c>
      <c r="G63" s="6" t="s">
        <v>60</v>
      </c>
      <c r="H63" s="6" t="s">
        <v>71</v>
      </c>
      <c r="I63" s="6" t="s">
        <v>90</v>
      </c>
      <c r="J63" s="6" t="s">
        <v>111</v>
      </c>
      <c r="K63" s="7">
        <v>2</v>
      </c>
      <c r="L63">
        <v>18</v>
      </c>
      <c r="M63">
        <v>3695.05</v>
      </c>
      <c r="N63" s="6" t="s">
        <v>53</v>
      </c>
      <c r="O63">
        <v>15</v>
      </c>
      <c r="P63">
        <v>80800.02</v>
      </c>
      <c r="Q63">
        <v>20</v>
      </c>
      <c r="R63">
        <v>586</v>
      </c>
      <c r="S63">
        <f t="shared" si="1"/>
        <v>5386.6680000000006</v>
      </c>
      <c r="T63" s="6" t="str">
        <f t="shared" si="2"/>
        <v>Frequent Buyer</v>
      </c>
      <c r="U63" s="6" t="str">
        <f t="shared" si="3"/>
        <v>GOLD</v>
      </c>
      <c r="V63">
        <f t="shared" si="4"/>
        <v>1</v>
      </c>
      <c r="W63" s="8">
        <f t="shared" si="5"/>
        <v>1</v>
      </c>
      <c r="X63">
        <f t="shared" si="6"/>
        <v>1</v>
      </c>
      <c r="Y63">
        <f t="shared" si="7"/>
        <v>1</v>
      </c>
      <c r="Z63">
        <f t="shared" si="8"/>
        <v>2</v>
      </c>
      <c r="AA63">
        <f t="shared" si="9"/>
        <v>2</v>
      </c>
      <c r="AB63">
        <f t="shared" si="10"/>
        <v>4</v>
      </c>
      <c r="AC63" s="9">
        <v>45843</v>
      </c>
      <c r="AD63" s="9">
        <v>45896</v>
      </c>
      <c r="AE63" t="s">
        <v>54</v>
      </c>
      <c r="AF63" t="s">
        <v>55</v>
      </c>
      <c r="AG63">
        <v>24850</v>
      </c>
      <c r="AH63">
        <v>7</v>
      </c>
      <c r="AI63" s="9">
        <v>45868</v>
      </c>
      <c r="AJ63" t="s">
        <v>56</v>
      </c>
    </row>
    <row r="64" spans="1:36" ht="14.25" customHeight="1">
      <c r="A64" t="str">
        <f t="shared" si="0"/>
        <v>CUST11063</v>
      </c>
      <c r="B64" t="s">
        <v>258</v>
      </c>
      <c r="C64">
        <v>9420351555</v>
      </c>
      <c r="D64" t="s">
        <v>259</v>
      </c>
      <c r="E64" t="s">
        <v>260</v>
      </c>
      <c r="F64">
        <v>53</v>
      </c>
      <c r="G64" s="6" t="s">
        <v>39</v>
      </c>
      <c r="H64" s="6" t="s">
        <v>61</v>
      </c>
      <c r="I64" s="6" t="s">
        <v>41</v>
      </c>
      <c r="J64" s="6" t="s">
        <v>52</v>
      </c>
      <c r="K64" s="7">
        <v>3</v>
      </c>
      <c r="L64">
        <v>20</v>
      </c>
      <c r="M64">
        <v>1126.1199999999999</v>
      </c>
      <c r="N64" s="6" t="s">
        <v>73</v>
      </c>
      <c r="O64">
        <v>8</v>
      </c>
      <c r="P64">
        <v>85253.33</v>
      </c>
      <c r="Q64">
        <v>7</v>
      </c>
      <c r="R64">
        <v>1249</v>
      </c>
      <c r="S64">
        <f t="shared" si="1"/>
        <v>10656.66625</v>
      </c>
      <c r="T64" s="6" t="str">
        <f t="shared" si="2"/>
        <v>Frequent Buyer</v>
      </c>
      <c r="U64" s="6" t="str">
        <f t="shared" si="3"/>
        <v>GOLD</v>
      </c>
      <c r="V64">
        <f t="shared" si="4"/>
        <v>0</v>
      </c>
      <c r="W64" s="8">
        <f t="shared" si="5"/>
        <v>1</v>
      </c>
      <c r="X64">
        <f t="shared" si="6"/>
        <v>1</v>
      </c>
      <c r="Y64">
        <f t="shared" si="7"/>
        <v>2</v>
      </c>
      <c r="Z64">
        <f t="shared" si="8"/>
        <v>5</v>
      </c>
      <c r="AA64">
        <f t="shared" si="9"/>
        <v>4</v>
      </c>
      <c r="AB64">
        <f t="shared" si="10"/>
        <v>2</v>
      </c>
      <c r="AC64" s="9">
        <v>45823</v>
      </c>
      <c r="AD64" s="9">
        <v>45889</v>
      </c>
      <c r="AE64" t="s">
        <v>65</v>
      </c>
      <c r="AF64" t="s">
        <v>66</v>
      </c>
      <c r="AG64">
        <v>33100</v>
      </c>
      <c r="AH64">
        <v>12</v>
      </c>
      <c r="AI64" s="9">
        <v>45848</v>
      </c>
      <c r="AJ64" t="s">
        <v>67</v>
      </c>
    </row>
    <row r="65" spans="1:36" ht="14.25" customHeight="1">
      <c r="A65" t="str">
        <f t="shared" si="0"/>
        <v>CUST11064</v>
      </c>
      <c r="B65" t="s">
        <v>261</v>
      </c>
      <c r="C65">
        <v>7020633133</v>
      </c>
      <c r="D65" t="s">
        <v>262</v>
      </c>
      <c r="E65" t="s">
        <v>263</v>
      </c>
      <c r="F65">
        <v>28</v>
      </c>
      <c r="G65" s="6" t="s">
        <v>39</v>
      </c>
      <c r="H65" s="6" t="s">
        <v>82</v>
      </c>
      <c r="I65" s="6" t="s">
        <v>41</v>
      </c>
      <c r="J65" s="6" t="s">
        <v>83</v>
      </c>
      <c r="K65" s="7">
        <v>19</v>
      </c>
      <c r="L65">
        <v>3</v>
      </c>
      <c r="M65">
        <v>2693.77</v>
      </c>
      <c r="N65" s="6" t="s">
        <v>43</v>
      </c>
      <c r="O65">
        <v>19</v>
      </c>
      <c r="P65">
        <v>81978.09</v>
      </c>
      <c r="Q65">
        <v>16</v>
      </c>
      <c r="R65">
        <v>139</v>
      </c>
      <c r="S65">
        <f t="shared" si="1"/>
        <v>4314.6363157894739</v>
      </c>
      <c r="T65" s="6" t="str">
        <f t="shared" si="2"/>
        <v>Frequent Buyer</v>
      </c>
      <c r="U65" s="6" t="str">
        <f t="shared" si="3"/>
        <v>GOLD</v>
      </c>
      <c r="V65">
        <f t="shared" si="4"/>
        <v>0</v>
      </c>
      <c r="W65" s="8">
        <f t="shared" si="5"/>
        <v>1</v>
      </c>
      <c r="X65">
        <f t="shared" si="6"/>
        <v>1</v>
      </c>
      <c r="Y65">
        <f t="shared" si="7"/>
        <v>3</v>
      </c>
      <c r="Z65">
        <f t="shared" si="8"/>
        <v>5</v>
      </c>
      <c r="AA65">
        <f t="shared" si="9"/>
        <v>1</v>
      </c>
      <c r="AB65">
        <f t="shared" si="10"/>
        <v>3</v>
      </c>
      <c r="AC65" s="9">
        <v>45805</v>
      </c>
      <c r="AD65" s="9">
        <v>45879</v>
      </c>
      <c r="AE65" t="s">
        <v>74</v>
      </c>
      <c r="AF65" t="s">
        <v>45</v>
      </c>
      <c r="AG65">
        <v>45900</v>
      </c>
      <c r="AH65">
        <v>0</v>
      </c>
      <c r="AI65" s="9">
        <v>45830</v>
      </c>
      <c r="AJ65" t="s">
        <v>75</v>
      </c>
    </row>
    <row r="66" spans="1:36" ht="14.25" customHeight="1">
      <c r="A66" t="str">
        <f t="shared" si="0"/>
        <v>CUST11065</v>
      </c>
      <c r="B66" t="s">
        <v>264</v>
      </c>
      <c r="C66">
        <v>8110249596</v>
      </c>
      <c r="D66" t="s">
        <v>265</v>
      </c>
      <c r="E66" t="s">
        <v>266</v>
      </c>
      <c r="F66">
        <v>24</v>
      </c>
      <c r="G66" s="6" t="s">
        <v>39</v>
      </c>
      <c r="H66" s="6" t="s">
        <v>40</v>
      </c>
      <c r="I66" s="6" t="s">
        <v>90</v>
      </c>
      <c r="J66" s="6" t="s">
        <v>42</v>
      </c>
      <c r="K66" s="7">
        <v>18</v>
      </c>
      <c r="L66">
        <v>5</v>
      </c>
      <c r="M66">
        <v>3752.24</v>
      </c>
      <c r="N66" s="6" t="s">
        <v>43</v>
      </c>
      <c r="O66">
        <v>8</v>
      </c>
      <c r="P66">
        <v>78502.460000000006</v>
      </c>
      <c r="Q66">
        <v>4</v>
      </c>
      <c r="R66">
        <v>1692</v>
      </c>
      <c r="S66">
        <f t="shared" si="1"/>
        <v>9812.8075000000008</v>
      </c>
      <c r="T66" s="6" t="str">
        <f t="shared" si="2"/>
        <v>Frequent Buyer</v>
      </c>
      <c r="U66" s="6" t="str">
        <f t="shared" si="3"/>
        <v>GOLD</v>
      </c>
      <c r="V66">
        <f t="shared" si="4"/>
        <v>0</v>
      </c>
      <c r="W66" s="8">
        <f t="shared" si="5"/>
        <v>1</v>
      </c>
      <c r="X66">
        <f t="shared" si="6"/>
        <v>1</v>
      </c>
      <c r="Y66">
        <f t="shared" si="7"/>
        <v>6</v>
      </c>
      <c r="Z66">
        <f t="shared" si="8"/>
        <v>2</v>
      </c>
      <c r="AA66">
        <f t="shared" si="9"/>
        <v>1</v>
      </c>
      <c r="AB66">
        <f t="shared" si="10"/>
        <v>1</v>
      </c>
      <c r="AC66" s="9">
        <v>45759</v>
      </c>
      <c r="AD66" s="9">
        <v>45868</v>
      </c>
      <c r="AE66" t="s">
        <v>44</v>
      </c>
      <c r="AF66" t="s">
        <v>55</v>
      </c>
      <c r="AG66">
        <v>12500</v>
      </c>
      <c r="AH66">
        <v>5</v>
      </c>
      <c r="AI66" s="9">
        <v>45782</v>
      </c>
      <c r="AJ66" t="s">
        <v>46</v>
      </c>
    </row>
    <row r="67" spans="1:36" ht="14.25" customHeight="1">
      <c r="A67" t="str">
        <f t="shared" si="0"/>
        <v>CUST11066</v>
      </c>
      <c r="B67" t="s">
        <v>267</v>
      </c>
      <c r="C67">
        <v>9902742390</v>
      </c>
      <c r="D67" t="s">
        <v>268</v>
      </c>
      <c r="E67" t="s">
        <v>269</v>
      </c>
      <c r="F67">
        <v>34</v>
      </c>
      <c r="G67" s="6" t="s">
        <v>39</v>
      </c>
      <c r="H67" s="6" t="s">
        <v>50</v>
      </c>
      <c r="I67" s="6" t="s">
        <v>72</v>
      </c>
      <c r="J67" s="6" t="s">
        <v>42</v>
      </c>
      <c r="K67" s="7">
        <v>26</v>
      </c>
      <c r="L67">
        <v>14</v>
      </c>
      <c r="M67">
        <v>2209.5100000000002</v>
      </c>
      <c r="N67" s="6" t="s">
        <v>53</v>
      </c>
      <c r="O67">
        <v>11</v>
      </c>
      <c r="P67">
        <v>42956.9</v>
      </c>
      <c r="Q67">
        <v>4</v>
      </c>
      <c r="R67">
        <v>1710</v>
      </c>
      <c r="S67">
        <f t="shared" si="1"/>
        <v>3905.1727272727276</v>
      </c>
      <c r="T67" s="6" t="str">
        <f t="shared" si="2"/>
        <v>Frequent Buyer</v>
      </c>
      <c r="U67" s="6" t="str">
        <f t="shared" si="3"/>
        <v>SILVER</v>
      </c>
      <c r="V67">
        <f t="shared" si="4"/>
        <v>0</v>
      </c>
      <c r="W67" s="8">
        <f t="shared" si="5"/>
        <v>2</v>
      </c>
      <c r="X67">
        <f t="shared" si="6"/>
        <v>1</v>
      </c>
      <c r="Y67">
        <f t="shared" si="7"/>
        <v>5</v>
      </c>
      <c r="Z67">
        <f t="shared" si="8"/>
        <v>6</v>
      </c>
      <c r="AA67">
        <f t="shared" si="9"/>
        <v>2</v>
      </c>
      <c r="AB67">
        <f t="shared" si="10"/>
        <v>1</v>
      </c>
      <c r="AC67" s="9">
        <v>45746</v>
      </c>
      <c r="AD67" s="9">
        <v>45853</v>
      </c>
      <c r="AE67" t="s">
        <v>54</v>
      </c>
      <c r="AF67" t="s">
        <v>66</v>
      </c>
      <c r="AG67">
        <v>39950</v>
      </c>
      <c r="AH67">
        <v>9</v>
      </c>
      <c r="AI67" s="9">
        <v>45765</v>
      </c>
      <c r="AJ67" t="s">
        <v>56</v>
      </c>
    </row>
    <row r="68" spans="1:36" ht="14.25" customHeight="1">
      <c r="A68" t="str">
        <f t="shared" si="0"/>
        <v>CUST11067</v>
      </c>
      <c r="B68" t="s">
        <v>270</v>
      </c>
      <c r="C68">
        <v>9249632569</v>
      </c>
      <c r="D68" t="s">
        <v>271</v>
      </c>
      <c r="E68" t="s">
        <v>272</v>
      </c>
      <c r="F68">
        <v>45</v>
      </c>
      <c r="G68" s="6" t="s">
        <v>39</v>
      </c>
      <c r="H68" s="6" t="s">
        <v>40</v>
      </c>
      <c r="I68" s="6" t="s">
        <v>41</v>
      </c>
      <c r="J68" s="6" t="s">
        <v>42</v>
      </c>
      <c r="K68" s="7">
        <v>6</v>
      </c>
      <c r="L68">
        <v>8</v>
      </c>
      <c r="M68">
        <v>712.57</v>
      </c>
      <c r="N68" s="6" t="s">
        <v>64</v>
      </c>
      <c r="O68">
        <v>7</v>
      </c>
      <c r="P68">
        <v>27651.19</v>
      </c>
      <c r="Q68">
        <v>19</v>
      </c>
      <c r="R68">
        <v>1300</v>
      </c>
      <c r="S68">
        <f t="shared" si="1"/>
        <v>3950.1699999999996</v>
      </c>
      <c r="T68" s="6" t="str">
        <f t="shared" si="2"/>
        <v>Frequent Buyer</v>
      </c>
      <c r="U68" s="6" t="str">
        <f t="shared" si="3"/>
        <v>SILVER</v>
      </c>
      <c r="V68">
        <f t="shared" si="4"/>
        <v>0</v>
      </c>
      <c r="W68" s="8">
        <f t="shared" si="5"/>
        <v>2</v>
      </c>
      <c r="X68">
        <f t="shared" si="6"/>
        <v>1</v>
      </c>
      <c r="Y68">
        <f t="shared" si="7"/>
        <v>6</v>
      </c>
      <c r="Z68">
        <f t="shared" si="8"/>
        <v>5</v>
      </c>
      <c r="AA68">
        <f t="shared" si="9"/>
        <v>3</v>
      </c>
      <c r="AB68">
        <f t="shared" si="10"/>
        <v>1</v>
      </c>
      <c r="AC68" s="9">
        <v>45702</v>
      </c>
      <c r="AD68" s="9">
        <v>45839</v>
      </c>
      <c r="AE68" t="s">
        <v>65</v>
      </c>
      <c r="AF68" t="s">
        <v>45</v>
      </c>
      <c r="AG68">
        <v>21200</v>
      </c>
      <c r="AH68">
        <v>2</v>
      </c>
      <c r="AI68" s="9">
        <v>45728</v>
      </c>
      <c r="AJ68" t="s">
        <v>67</v>
      </c>
    </row>
    <row r="69" spans="1:36" ht="14.25" customHeight="1">
      <c r="A69" t="str">
        <f t="shared" si="0"/>
        <v>CUST11068</v>
      </c>
      <c r="B69" t="s">
        <v>273</v>
      </c>
      <c r="C69">
        <v>7518755604</v>
      </c>
      <c r="D69" t="s">
        <v>274</v>
      </c>
      <c r="E69" t="s">
        <v>275</v>
      </c>
      <c r="F69">
        <v>51</v>
      </c>
      <c r="G69" s="6" t="s">
        <v>39</v>
      </c>
      <c r="H69" s="6" t="s">
        <v>71</v>
      </c>
      <c r="I69" s="6" t="s">
        <v>62</v>
      </c>
      <c r="J69" s="6" t="s">
        <v>42</v>
      </c>
      <c r="K69" s="7">
        <v>24</v>
      </c>
      <c r="L69">
        <v>22</v>
      </c>
      <c r="M69">
        <v>1521.05</v>
      </c>
      <c r="N69" s="6" t="s">
        <v>53</v>
      </c>
      <c r="O69">
        <v>15</v>
      </c>
      <c r="P69">
        <v>46106.74</v>
      </c>
      <c r="Q69">
        <v>17</v>
      </c>
      <c r="R69">
        <v>1673</v>
      </c>
      <c r="S69">
        <f t="shared" si="1"/>
        <v>3073.7826666666665</v>
      </c>
      <c r="T69" s="6" t="str">
        <f t="shared" si="2"/>
        <v>Frequent Buyer</v>
      </c>
      <c r="U69" s="6" t="str">
        <f t="shared" si="3"/>
        <v>SILVER</v>
      </c>
      <c r="V69">
        <f t="shared" si="4"/>
        <v>0</v>
      </c>
      <c r="W69" s="8">
        <f t="shared" si="5"/>
        <v>2</v>
      </c>
      <c r="X69">
        <f t="shared" si="6"/>
        <v>1</v>
      </c>
      <c r="Y69">
        <f t="shared" si="7"/>
        <v>1</v>
      </c>
      <c r="Z69">
        <f t="shared" si="8"/>
        <v>4</v>
      </c>
      <c r="AA69">
        <f t="shared" si="9"/>
        <v>2</v>
      </c>
      <c r="AB69">
        <f t="shared" si="10"/>
        <v>1</v>
      </c>
      <c r="AC69" s="9">
        <v>45682</v>
      </c>
      <c r="AD69" s="9">
        <v>45826</v>
      </c>
      <c r="AE69" t="s">
        <v>74</v>
      </c>
      <c r="AF69" t="s">
        <v>55</v>
      </c>
      <c r="AG69">
        <v>30500</v>
      </c>
      <c r="AH69">
        <v>11</v>
      </c>
      <c r="AI69" s="9">
        <v>45713</v>
      </c>
      <c r="AJ69" t="s">
        <v>46</v>
      </c>
    </row>
    <row r="70" spans="1:36" ht="14.25" customHeight="1">
      <c r="A70" t="str">
        <f t="shared" si="0"/>
        <v>CUST11069</v>
      </c>
      <c r="B70" t="s">
        <v>276</v>
      </c>
      <c r="C70">
        <v>9527549400</v>
      </c>
      <c r="D70" t="s">
        <v>277</v>
      </c>
      <c r="E70" t="s">
        <v>278</v>
      </c>
      <c r="F70">
        <v>57</v>
      </c>
      <c r="G70" s="6" t="s">
        <v>39</v>
      </c>
      <c r="H70" s="6" t="s">
        <v>61</v>
      </c>
      <c r="I70" s="6" t="s">
        <v>90</v>
      </c>
      <c r="J70" s="6" t="s">
        <v>63</v>
      </c>
      <c r="K70" s="7">
        <v>24</v>
      </c>
      <c r="L70">
        <v>2</v>
      </c>
      <c r="M70">
        <v>3180.77</v>
      </c>
      <c r="N70" s="6" t="s">
        <v>73</v>
      </c>
      <c r="O70">
        <v>5</v>
      </c>
      <c r="P70">
        <v>59215.1</v>
      </c>
      <c r="Q70">
        <v>17</v>
      </c>
      <c r="R70">
        <v>1840</v>
      </c>
      <c r="S70">
        <f t="shared" si="1"/>
        <v>11843.02</v>
      </c>
      <c r="T70" s="6" t="str">
        <f t="shared" si="2"/>
        <v>Few Purchases</v>
      </c>
      <c r="U70" s="6" t="str">
        <f t="shared" si="3"/>
        <v>GOLD</v>
      </c>
      <c r="V70">
        <f t="shared" si="4"/>
        <v>0</v>
      </c>
      <c r="W70" s="8">
        <f t="shared" si="5"/>
        <v>1</v>
      </c>
      <c r="X70">
        <f t="shared" si="6"/>
        <v>2</v>
      </c>
      <c r="Y70">
        <f t="shared" si="7"/>
        <v>2</v>
      </c>
      <c r="Z70">
        <f t="shared" si="8"/>
        <v>2</v>
      </c>
      <c r="AA70">
        <f t="shared" si="9"/>
        <v>4</v>
      </c>
      <c r="AB70">
        <f t="shared" si="10"/>
        <v>1</v>
      </c>
      <c r="AC70" s="9">
        <v>45645</v>
      </c>
      <c r="AD70" s="9">
        <v>45813</v>
      </c>
      <c r="AE70" t="s">
        <v>54</v>
      </c>
      <c r="AF70" t="s">
        <v>66</v>
      </c>
      <c r="AG70">
        <v>18750</v>
      </c>
      <c r="AH70">
        <v>6</v>
      </c>
      <c r="AI70" s="9">
        <v>45687</v>
      </c>
      <c r="AJ70" t="s">
        <v>75</v>
      </c>
    </row>
    <row r="71" spans="1:36" ht="14.25" customHeight="1">
      <c r="G71" s="6"/>
      <c r="H71" s="6"/>
      <c r="I71" s="6"/>
      <c r="J71" s="6"/>
      <c r="K71" s="7"/>
      <c r="N71" s="6"/>
      <c r="T71" s="6"/>
      <c r="U71" s="6"/>
      <c r="AC71" s="9"/>
      <c r="AD71" s="9"/>
      <c r="AI71" s="9"/>
    </row>
    <row r="72" spans="1:36" ht="14.25" customHeight="1">
      <c r="G72" s="6"/>
      <c r="H72" s="6"/>
      <c r="I72" s="6"/>
      <c r="J72" s="6"/>
      <c r="K72" s="7"/>
      <c r="N72" s="6"/>
      <c r="T72" s="6"/>
      <c r="U72" s="6"/>
      <c r="AC72" s="9"/>
      <c r="AD72" s="9"/>
      <c r="AI72" s="9"/>
    </row>
    <row r="73" spans="1:36" ht="14.25" customHeight="1">
      <c r="G73" s="6"/>
      <c r="H73" s="6"/>
      <c r="I73" s="6"/>
      <c r="J73" s="6"/>
      <c r="K73" s="7"/>
      <c r="N73" s="6"/>
      <c r="T73" s="6"/>
      <c r="U73" s="6"/>
      <c r="AC73" s="9"/>
      <c r="AD73" s="9"/>
      <c r="AI73" s="9"/>
    </row>
    <row r="74" spans="1:36" ht="14.25" customHeight="1">
      <c r="G74" s="6"/>
      <c r="H74" s="6"/>
      <c r="I74" s="6"/>
      <c r="J74" s="6"/>
      <c r="K74" s="7"/>
      <c r="N74" s="6"/>
      <c r="T74" s="6"/>
      <c r="U74" s="6"/>
      <c r="AC74" s="9"/>
      <c r="AD74" s="9"/>
      <c r="AI74" s="9"/>
    </row>
    <row r="75" spans="1:36" ht="14.25" customHeight="1">
      <c r="G75" s="6"/>
      <c r="H75" s="6"/>
      <c r="I75" s="6"/>
      <c r="J75" s="6"/>
      <c r="K75" s="7"/>
      <c r="N75" s="6"/>
      <c r="T75" s="6"/>
      <c r="U75" s="6"/>
      <c r="AC75" s="9"/>
      <c r="AD75" s="9"/>
      <c r="AI75" s="9"/>
    </row>
    <row r="76" spans="1:36" ht="14.25" customHeight="1">
      <c r="G76" s="6"/>
      <c r="H76" s="6"/>
      <c r="I76" s="6"/>
      <c r="J76" s="6"/>
      <c r="K76" s="7"/>
      <c r="N76" s="6"/>
      <c r="T76" s="6"/>
      <c r="U76" s="6"/>
      <c r="AC76" s="9"/>
      <c r="AD76" s="9"/>
      <c r="AI76" s="9"/>
    </row>
    <row r="77" spans="1:36" ht="14.25" customHeight="1">
      <c r="G77" s="6"/>
      <c r="H77" s="6"/>
      <c r="I77" s="6"/>
      <c r="J77" s="6"/>
      <c r="K77" s="7"/>
      <c r="N77" s="6"/>
      <c r="T77" s="6"/>
      <c r="U77" s="6"/>
    </row>
    <row r="78" spans="1:36" ht="14.25" customHeight="1">
      <c r="G78" s="6"/>
      <c r="H78" s="6"/>
      <c r="I78" s="6"/>
      <c r="J78" s="6"/>
      <c r="K78" s="7"/>
      <c r="N78" s="6"/>
      <c r="T78" s="6"/>
      <c r="U78" s="6"/>
    </row>
    <row r="79" spans="1:36" ht="14.25" customHeight="1">
      <c r="G79" s="6"/>
      <c r="H79" s="6"/>
      <c r="I79" s="6"/>
      <c r="J79" s="6"/>
      <c r="K79" s="7"/>
      <c r="N79" s="6"/>
      <c r="T79" s="6"/>
      <c r="U79" s="6"/>
    </row>
    <row r="80" spans="1:36" ht="14.25" customHeight="1">
      <c r="G80" s="6"/>
      <c r="H80" s="6"/>
      <c r="I80" s="6"/>
      <c r="J80" s="6"/>
      <c r="K80" s="7"/>
      <c r="N80" s="6"/>
      <c r="T80" s="6"/>
      <c r="U80" s="6"/>
    </row>
    <row r="81" spans="7:21" ht="14.25" customHeight="1">
      <c r="G81" s="6"/>
      <c r="H81" s="6"/>
      <c r="I81" s="6"/>
      <c r="J81" s="6"/>
      <c r="K81" s="7"/>
      <c r="N81" s="6"/>
      <c r="T81" s="6"/>
      <c r="U81" s="6"/>
    </row>
    <row r="82" spans="7:21" ht="14.25" customHeight="1">
      <c r="G82" s="6"/>
      <c r="H82" s="6"/>
      <c r="I82" s="6"/>
      <c r="J82" s="6"/>
      <c r="K82" s="7"/>
      <c r="N82" s="6"/>
      <c r="T82" s="6"/>
      <c r="U82" s="6"/>
    </row>
    <row r="83" spans="7:21" ht="14.25" customHeight="1">
      <c r="G83" s="6"/>
      <c r="H83" s="6"/>
      <c r="I83" s="6"/>
      <c r="J83" s="6"/>
      <c r="K83" s="7"/>
      <c r="N83" s="6"/>
      <c r="T83" s="6"/>
      <c r="U83" s="6"/>
    </row>
    <row r="84" spans="7:21" ht="14.25" customHeight="1">
      <c r="G84" s="6"/>
      <c r="H84" s="6"/>
      <c r="I84" s="6"/>
      <c r="J84" s="6"/>
      <c r="K84" s="7"/>
      <c r="N84" s="6"/>
      <c r="T84" s="6"/>
      <c r="U84" s="6"/>
    </row>
    <row r="85" spans="7:21" ht="14.25" customHeight="1">
      <c r="G85" s="6"/>
      <c r="H85" s="6"/>
      <c r="I85" s="6"/>
      <c r="J85" s="6"/>
      <c r="K85" s="7"/>
      <c r="N85" s="6"/>
      <c r="T85" s="6"/>
      <c r="U85" s="6"/>
    </row>
    <row r="86" spans="7:21" ht="14.25" customHeight="1">
      <c r="G86" s="6"/>
      <c r="H86" s="6"/>
      <c r="I86" s="6"/>
      <c r="J86" s="6"/>
      <c r="K86" s="7"/>
      <c r="N86" s="6"/>
      <c r="T86" s="6"/>
      <c r="U86" s="6"/>
    </row>
    <row r="87" spans="7:21" ht="14.25" customHeight="1">
      <c r="G87" s="6"/>
      <c r="H87" s="6"/>
      <c r="I87" s="6"/>
      <c r="J87" s="6"/>
      <c r="K87" s="7"/>
      <c r="N87" s="6"/>
      <c r="T87" s="6"/>
      <c r="U87" s="6"/>
    </row>
    <row r="88" spans="7:21" ht="14.25" customHeight="1">
      <c r="G88" s="6"/>
      <c r="H88" s="6"/>
      <c r="I88" s="6"/>
      <c r="J88" s="6"/>
      <c r="K88" s="7"/>
      <c r="N88" s="6"/>
      <c r="T88" s="6"/>
      <c r="U88" s="6"/>
    </row>
    <row r="89" spans="7:21" ht="14.25" customHeight="1">
      <c r="G89" s="6"/>
      <c r="H89" s="6"/>
      <c r="I89" s="6"/>
      <c r="J89" s="6"/>
      <c r="K89" s="7"/>
      <c r="N89" s="6"/>
      <c r="T89" s="6"/>
      <c r="U89" s="6"/>
    </row>
    <row r="90" spans="7:21" ht="14.25" customHeight="1">
      <c r="G90" s="6"/>
      <c r="H90" s="6"/>
      <c r="I90" s="6"/>
      <c r="J90" s="6"/>
      <c r="K90" s="7"/>
      <c r="N90" s="6"/>
      <c r="T90" s="6"/>
      <c r="U90" s="6"/>
    </row>
    <row r="91" spans="7:21" ht="14.25" customHeight="1">
      <c r="G91" s="6"/>
      <c r="H91" s="6"/>
      <c r="I91" s="6"/>
      <c r="J91" s="6"/>
      <c r="K91" s="7"/>
      <c r="N91" s="6"/>
      <c r="T91" s="6"/>
      <c r="U91" s="6"/>
    </row>
    <row r="92" spans="7:21" ht="14.25" customHeight="1">
      <c r="G92" s="6"/>
      <c r="H92" s="6"/>
      <c r="I92" s="6"/>
      <c r="J92" s="6"/>
      <c r="K92" s="7"/>
      <c r="N92" s="6"/>
      <c r="T92" s="6"/>
      <c r="U92" s="6"/>
    </row>
    <row r="93" spans="7:21" ht="14.25" customHeight="1">
      <c r="G93" s="6"/>
      <c r="H93" s="6"/>
      <c r="I93" s="6"/>
      <c r="J93" s="6"/>
      <c r="K93" s="7"/>
      <c r="N93" s="6"/>
      <c r="T93" s="6"/>
      <c r="U93" s="6"/>
    </row>
    <row r="94" spans="7:21" ht="14.25" customHeight="1">
      <c r="G94" s="6"/>
      <c r="H94" s="6"/>
      <c r="I94" s="6"/>
      <c r="J94" s="6"/>
      <c r="K94" s="7"/>
      <c r="N94" s="6"/>
      <c r="T94" s="6"/>
      <c r="U94" s="6"/>
    </row>
    <row r="95" spans="7:21" ht="14.25" customHeight="1">
      <c r="G95" s="6"/>
      <c r="H95" s="6"/>
      <c r="I95" s="6"/>
      <c r="J95" s="6"/>
      <c r="K95" s="7"/>
      <c r="N95" s="6"/>
      <c r="T95" s="6"/>
      <c r="U95" s="6"/>
    </row>
    <row r="96" spans="7:21" ht="14.25" customHeight="1">
      <c r="G96" s="6"/>
      <c r="H96" s="6"/>
      <c r="I96" s="6"/>
      <c r="J96" s="6"/>
      <c r="K96" s="7"/>
      <c r="N96" s="6"/>
      <c r="T96" s="6"/>
      <c r="U96" s="6"/>
    </row>
    <row r="97" spans="7:21" ht="14.25" customHeight="1">
      <c r="G97" s="6"/>
      <c r="H97" s="6"/>
      <c r="I97" s="6"/>
      <c r="J97" s="6"/>
      <c r="K97" s="7"/>
      <c r="N97" s="6"/>
      <c r="T97" s="6"/>
      <c r="U97" s="6"/>
    </row>
    <row r="98" spans="7:21" ht="14.25" customHeight="1">
      <c r="G98" s="6"/>
      <c r="H98" s="6"/>
      <c r="I98" s="6"/>
      <c r="J98" s="6"/>
      <c r="K98" s="7"/>
      <c r="N98" s="6"/>
      <c r="T98" s="6"/>
      <c r="U98" s="6"/>
    </row>
    <row r="99" spans="7:21" ht="14.25" customHeight="1">
      <c r="G99" s="6"/>
      <c r="H99" s="6"/>
      <c r="I99" s="6"/>
      <c r="J99" s="6"/>
      <c r="K99" s="7"/>
      <c r="N99" s="6"/>
      <c r="T99" s="6"/>
      <c r="U99" s="6"/>
    </row>
    <row r="100" spans="7:21" ht="14.25" customHeight="1">
      <c r="G100" s="6"/>
      <c r="H100" s="6"/>
      <c r="I100" s="6"/>
      <c r="J100" s="6"/>
      <c r="K100" s="7"/>
      <c r="N100" s="6"/>
      <c r="T100" s="6"/>
      <c r="U100" s="6"/>
    </row>
  </sheetData>
  <conditionalFormatting sqref="H1:H100">
    <cfRule type="containsText" dxfId="3" priority="1" operator="containsText" text="Bangalore">
      <formula>NOT(ISERROR(SEARCH(("Bangalore"),(H1))))</formula>
    </cfRule>
  </conditionalFormatting>
  <conditionalFormatting sqref="H1:H100">
    <cfRule type="containsText" dxfId="2" priority="2" operator="containsText" text="Bangalore">
      <formula>NOT(ISERROR(SEARCH(("Bangalore"),(H1))))</formula>
    </cfRule>
  </conditionalFormatting>
  <conditionalFormatting sqref="H1:H100">
    <cfRule type="cellIs" dxfId="1" priority="3" operator="equal">
      <formula>"Bangalore"</formula>
    </cfRule>
  </conditionalFormatting>
  <conditionalFormatting sqref="J1:J100">
    <cfRule type="cellIs" dxfId="0" priority="4" operator="equal">
      <formula>"Credit Car Active"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2025-07-24T11:24:19Z</dcterms:created>
  <dcterms:modified xsi:type="dcterms:W3CDTF">2026-04-09T12:05:32Z</dcterms:modified>
</cp:coreProperties>
</file>